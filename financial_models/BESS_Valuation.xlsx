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  <sheet xmlns:r="http://schemas.openxmlformats.org/officeDocument/2006/relationships" name="Raw_Inputs" sheetId="16" state="visible" r:id="rId16"/>
    <sheet xmlns:r="http://schemas.openxmlformats.org/officeDocument/2006/relationships" name="Raw_Assumptio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2" fontId="6" fillId="4" borderId="1" applyAlignment="1" pivotButton="0" quotePrefix="0" xfId="0">
      <alignment horizontal="center" vertical="top"/>
    </xf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2" fontId="8" fillId="0" borderId="1" applyAlignment="1" pivotButton="0" quotePrefix="0" xfId="0">
      <alignment horizontal="center" vertical="top"/>
    </xf>
    <xf numFmtId="2" fontId="7" fillId="0" borderId="1" pivotButton="0" quotePrefix="0" xfId="0"/>
    <xf numFmtId="164" fontId="9" fillId="0" borderId="1" pivotButton="0" quotePrefix="0" xfId="0"/>
    <xf numFmtId="164" fontId="8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3" fontId="8" fillId="0" borderId="1" pivotButton="0" quotePrefix="0" xfId="0"/>
    <xf numFmtId="169" fontId="8" fillId="0" borderId="1" pivotButton="0" quotePrefix="0" xfId="0"/>
    <xf numFmtId="168" fontId="5" fillId="0" borderId="1" pivotButton="0" quotePrefix="0" xfId="0"/>
    <xf numFmtId="2" fontId="8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8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7" fontId="8" fillId="0" borderId="1" pivotButton="0" quotePrefix="0" xfId="0"/>
    <xf numFmtId="164" fontId="8" fillId="3" borderId="1" pivotButton="0" quotePrefix="0" xfId="0"/>
    <xf numFmtId="168" fontId="8" fillId="0" borderId="1" pivotButton="0" quotePrefix="0" xfId="0"/>
    <xf numFmtId="170" fontId="8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5" fillId="0" borderId="1" pivotButton="0" quotePrefix="0" xfId="0"/>
    <xf numFmtId="0" fontId="9" fillId="0" borderId="0" applyAlignment="1" pivotButton="0" quotePrefix="0" xfId="0">
      <alignment horizontal="center" vertical="top"/>
    </xf>
    <xf numFmtId="166" fontId="8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Assumption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Relationship Type="http://schemas.openxmlformats.org/officeDocument/2006/relationships/hyperlink" Target="#'Raw_Inputs'!A1" TargetMode="External" Id="rId16"/><Relationship Type="http://schemas.openxmlformats.org/officeDocument/2006/relationships/hyperlink" Target="#'Raw_Assumptions'!A1" TargetMode="External" Id="rId17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'Checks'!$B$24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Assumptions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  <row r="19">
      <c r="A19" s="9" t="n">
        <v>16</v>
      </c>
      <c r="B19" s="2" t="inlineStr">
        <is>
          <t>Raw_Inputs</t>
        </is>
      </c>
      <c r="C19" s="10" t="inlineStr"/>
    </row>
    <row r="20">
      <c r="A20" s="9" t="n">
        <v>17</v>
      </c>
      <c r="B20" s="2" t="inlineStr">
        <is>
          <t>Raw_Assumptions</t>
        </is>
      </c>
      <c r="C20" s="10" t="inlineStr"/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Analyst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Analyst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Analyst (v3 exit-basis)</t>
        </is>
      </c>
    </row>
    <row r="7">
      <c r="A7" s="11" t="inlineStr">
        <is>
          <t>2026-06-26</t>
        </is>
      </c>
      <c r="B7" s="11" t="inlineStr">
        <is>
          <t>v4.0</t>
        </is>
      </c>
      <c r="C7" s="4" t="inlineStr">
        <is>
      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      </is>
      </c>
      <c r="D7" s="12" t="inlineStr">
        <is>
          <t>Analyst (v4 provenance)</t>
        </is>
      </c>
    </row>
    <row r="8">
      <c r="C8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the single junction; every driver flows from here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'Assumptions'!$C$5+'Assumptions'!$C$6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— RTB rights (agreement + GPS)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RTB-stage connection AGREEMENT + GPS (registration / ready-for-construction; NOT energisation) [[TO CONFIRM]]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  <row r="56">
      <c r="A56" s="6" t="inlineStr">
        <is>
          <t>Input provenance flags (change5) — 1 = Independent (verified); 0 = Proposed/Placeholder</t>
        </is>
      </c>
    </row>
    <row r="57">
      <c r="A57" s="15" t="inlineStr">
        <is>
          <t>RTB $/MW verified? (feeds independent rNPV)</t>
        </is>
      </c>
      <c r="C57" s="20" t="n">
        <v>0</v>
      </c>
    </row>
    <row r="58">
      <c r="A58" s="15" t="inlineStr">
        <is>
          <t>Dev cost verified? (feeds independent rNPV)</t>
        </is>
      </c>
      <c r="C58" s="20" t="n">
        <v>0</v>
      </c>
    </row>
    <row r="59">
      <c r="A59" s="15" t="inlineStr">
        <is>
          <t>Provenance tagged &amp; disclosed?</t>
        </is>
      </c>
      <c r="C59" s="20" t="n">
        <v>1</v>
      </c>
    </row>
    <row r="60">
      <c r="A60" s="14" t="inlineStr">
        <is>
          <t>RTB $/MW and dev cost are the manager's UNVERIFIED claims (Proposed) — verify against a primary source (comparable RTB sales; bottom-up costs) and set the flag to 1 before treating the rNPV as independent.</t>
        </is>
      </c>
    </row>
    <row r="62">
      <c r="A62" s="6" t="inlineStr">
        <is>
          <t>Scenario driver values (by case) — single source; the Scenarios tab links here</t>
        </is>
      </c>
    </row>
    <row r="63">
      <c r="A63" s="8" t="inlineStr">
        <is>
          <t>Driver</t>
        </is>
      </c>
      <c r="B63" s="8" t="inlineStr">
        <is>
          <t>Conservative</t>
        </is>
      </c>
      <c r="C63" s="8" t="inlineStr">
        <is>
          <t>Base</t>
        </is>
      </c>
      <c r="D63" s="8" t="inlineStr">
        <is>
          <t>Ideal</t>
        </is>
      </c>
    </row>
    <row r="64">
      <c r="A64" s="15" t="inlineStr">
        <is>
          <t>Development-approval rate (DA gate — 40/65/80%)</t>
        </is>
      </c>
      <c r="B64" s="25" t="n">
        <v>0.4</v>
      </c>
      <c r="C64" s="25" t="n">
        <v>0.65</v>
      </c>
      <c r="D64" s="25" t="n">
        <v>0.8</v>
      </c>
    </row>
    <row r="65">
      <c r="A65" s="15" t="inlineStr">
        <is>
          <t>RTB price multiplier</t>
        </is>
      </c>
      <c r="B65" s="28" t="n">
        <v>0.85</v>
      </c>
      <c r="C65" s="28" t="n">
        <v>1</v>
      </c>
      <c r="D65" s="28" t="n">
        <v>1.15</v>
      </c>
    </row>
    <row r="66">
      <c r="A66" s="15" t="inlineStr">
        <is>
          <t>Dev cost multiplier</t>
        </is>
      </c>
      <c r="B66" s="28" t="n">
        <v>1.05</v>
      </c>
      <c r="C66" s="28" t="n">
        <v>1</v>
      </c>
      <c r="D66" s="28" t="n">
        <v>0.97</v>
      </c>
    </row>
    <row r="67">
      <c r="A67" s="15" t="inlineStr">
        <is>
          <t>First-Chicago weight (by case)</t>
        </is>
      </c>
      <c r="B67" s="25" t="n">
        <v>0.3</v>
      </c>
      <c r="C67" s="25" t="n">
        <v>0.5</v>
      </c>
      <c r="D67" s="25" t="n">
        <v>0.2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9" t="n">
        <v>0</v>
      </c>
      <c r="C3" s="29" t="n">
        <v>1</v>
      </c>
      <c r="D3" s="29" t="n">
        <v>2</v>
      </c>
      <c r="E3" s="29" t="n">
        <v>3</v>
      </c>
    </row>
    <row r="4">
      <c r="A4" s="15" t="inlineStr">
        <is>
          <t>Year</t>
        </is>
      </c>
      <c r="B4" s="30">
        <f>$B$2+B3</f>
        <v/>
      </c>
      <c r="C4" s="30">
        <f>$B$2+C3</f>
        <v/>
      </c>
      <c r="D4" s="30">
        <f>$B$2+D3</f>
        <v/>
      </c>
      <c r="E4" s="30">
        <f>$B$2+E3</f>
        <v/>
      </c>
    </row>
    <row r="5">
      <c r="A5" s="15" t="inlineStr">
        <is>
          <t>Discount factor @ live discount</t>
        </is>
      </c>
      <c r="B5" s="31">
        <f>IFERROR(1/(1+'Scenarios'!$E$9)^B3,0)</f>
        <v/>
      </c>
      <c r="C5" s="31">
        <f>IFERROR(1/(1+'Scenarios'!$E$9)^C3,0)</f>
        <v/>
      </c>
      <c r="D5" s="31">
        <f>IFERROR(1/(1+'Scenarios'!$E$9)^D3,0)</f>
        <v/>
      </c>
      <c r="E5" s="31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2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33">
        <f>'Assumptions'!$B$64</f>
        <v/>
      </c>
      <c r="C5" s="33">
        <f>'Assumptions'!$C$64</f>
        <v/>
      </c>
      <c r="D5" s="33">
        <f>'Assumptions'!$D$64</f>
        <v/>
      </c>
      <c r="E5" s="18">
        <f>CHOOSE('Scenarios'!$B$2,B5,C5,D5)</f>
        <v/>
      </c>
    </row>
    <row r="6">
      <c r="A6" s="15" t="inlineStr">
        <is>
          <t>RTB price multiplier</t>
        </is>
      </c>
      <c r="B6" s="34">
        <f>'Assumptions'!$B$65</f>
        <v/>
      </c>
      <c r="C6" s="34">
        <f>'Assumptions'!$C$65</f>
        <v/>
      </c>
      <c r="D6" s="34">
        <f>'Assumptions'!$D$65</f>
        <v/>
      </c>
      <c r="E6" s="35">
        <f>CHOOSE('Scenarios'!$B$2,B6,C6,D6)</f>
        <v/>
      </c>
    </row>
    <row r="7">
      <c r="A7" s="15" t="inlineStr">
        <is>
          <t>Dev cost multiplier</t>
        </is>
      </c>
      <c r="B7" s="34">
        <f>'Assumptions'!$B$66</f>
        <v/>
      </c>
      <c r="C7" s="34">
        <f>'Assumptions'!$C$66</f>
        <v/>
      </c>
      <c r="D7" s="34">
        <f>'Assumptions'!$D$66</f>
        <v/>
      </c>
      <c r="E7" s="35">
        <f>CHOOSE('Scenarios'!$B$2,B7,C7,D7)</f>
        <v/>
      </c>
    </row>
    <row r="8"/>
    <row r="9">
      <c r="A9" s="3" t="inlineStr">
        <is>
          <t>Live discount rate (= base; scenarios don't move it)</t>
        </is>
      </c>
      <c r="E9" s="36">
        <f>'Assumptions'!$C$7</f>
        <v/>
      </c>
    </row>
    <row r="10"/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33">
        <f>'Assumptions'!$B$67</f>
        <v/>
      </c>
      <c r="C13" s="33">
        <f>'Assumptions'!$C$67</f>
        <v/>
      </c>
      <c r="D13" s="33">
        <f>'Assumptions'!$D$67</f>
        <v/>
      </c>
      <c r="E13" s="18">
        <f>SUM(B13:D13)</f>
        <v/>
      </c>
    </row>
    <row r="14"/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 The driver VALUES live on the Assumptions tab (the single source); this tab links to them and holds only the switch + live case.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7">
        <f>'Scenarios'!$E$5</f>
        <v/>
      </c>
      <c r="C4" s="38">
        <f>B4</f>
        <v/>
      </c>
    </row>
    <row r="5">
      <c r="A5" s="15" t="inlineStr">
        <is>
          <t>Grid connection — RTB rights (agreement + GPS)</t>
        </is>
      </c>
      <c r="B5" s="37">
        <f>'Assumptions'!$C$27</f>
        <v/>
      </c>
      <c r="C5" s="38">
        <f>C4*B5</f>
        <v/>
      </c>
    </row>
    <row r="6">
      <c r="A6" s="15" t="inlineStr">
        <is>
          <t>Reach sale (flip exit)</t>
        </is>
      </c>
      <c r="B6" s="37">
        <f>'Assumptions'!$C$28</f>
        <v/>
      </c>
      <c r="C6" s="38">
        <f>C5*B6</f>
        <v/>
      </c>
    </row>
    <row r="7">
      <c r="A7" s="3" t="inlineStr">
        <is>
          <t>LIVE flip success (DA x connection x sale)</t>
        </is>
      </c>
      <c r="C7" s="39">
        <f>C6</f>
        <v/>
      </c>
    </row>
    <row r="8"/>
    <row r="9">
      <c r="A9" s="15" t="inlineStr">
        <is>
          <t>Public-benchmark development approval</t>
        </is>
      </c>
      <c r="C9" s="37">
        <f>'Assumptions'!$C$26</f>
        <v/>
      </c>
    </row>
    <row r="10">
      <c r="A10" s="3" t="inlineStr">
        <is>
          <t>Independent flip success (benchmark DA x conn x sale)</t>
        </is>
      </c>
      <c r="C10" s="18">
        <f>C9*'Assumptions'!$C$27*'Assumptions'!$C$28</f>
        <v/>
      </c>
    </row>
    <row r="11"/>
    <row r="12">
      <c r="A12" s="15" t="inlineStr">
        <is>
          <t>Manager's headline DA rate (Base — the '65%')</t>
        </is>
      </c>
      <c r="C12" s="37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'Scenarios'!$C$5*'Assumptions'!$C$27*'Assumptions'!$C$28</f>
        <v/>
      </c>
    </row>
    <row r="14">
      <c r="C14" s="40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  <row r="16"/>
    <row r="17">
      <c r="A17" s="14" t="inlineStr">
        <is>
          <t>Grid connection = RTB-stage connection RIGHTS: the connection AGREEMENT + Generator Performance Standards (GPS) that make a project ready-to-build (AEMO Scorecard 'registration / executed connection agreement' stage) — NOT energisation/commissioning of a built battery (a flip sells pre-construction). 70% is a benchmark [[TO CONFIRM]].</t>
        </is>
      </c>
    </row>
    <row r="18">
      <c r="A18" s="14" t="inlineStr">
        <is>
          <t>Gates 2 &amp; 3 are INDEPENDENT (no double-count): gate 2 = did the project SECURE connection rights/GPS; gate 3 = given a genuinely RTB project, did a BUYER pay RTB price (demand/price risk, not connection again).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'Assumptions'!$A$40</f>
        <v/>
      </c>
      <c r="B4" s="41">
        <f>'Assumptions'!$B$40</f>
        <v/>
      </c>
      <c r="C4" s="42">
        <f>'Assumptions'!$D$40</f>
        <v/>
      </c>
      <c r="D4" s="43">
        <f>'Assumptions'!$G$40</f>
        <v/>
      </c>
      <c r="E4" s="44">
        <f>IFERROR(INDEX('Assumptions'!$C$30:$C$32,MATCH(B4,'Assumptions'!$A$30:$A$32,0)),0)</f>
        <v/>
      </c>
      <c r="F4" s="45">
        <f>'Scenarios'!$E$6</f>
        <v/>
      </c>
      <c r="G4" s="46">
        <f>C4*E4*F4</f>
        <v/>
      </c>
      <c r="H4" s="46">
        <f>'Assumptions'!$C$21*'Scenarios'!$E$7</f>
        <v/>
      </c>
      <c r="I4" s="46">
        <f>G4-H4</f>
        <v/>
      </c>
      <c r="J4" s="37">
        <f>'Calc_Survival'!$C$7</f>
        <v/>
      </c>
      <c r="K4" s="46">
        <f>I4*J4</f>
        <v/>
      </c>
      <c r="L4" s="47">
        <f>IFERROR(1/(1+'Scenarios'!$E$9)^D4,0)</f>
        <v/>
      </c>
      <c r="M4" s="46">
        <f>K4*L4</f>
        <v/>
      </c>
      <c r="N4" s="46">
        <f>C4*E4</f>
        <v/>
      </c>
    </row>
    <row r="5">
      <c r="A5" s="2">
        <f>'Assumptions'!$A$41</f>
        <v/>
      </c>
      <c r="B5" s="41">
        <f>'Assumptions'!$B$41</f>
        <v/>
      </c>
      <c r="C5" s="42">
        <f>'Assumptions'!$D$41</f>
        <v/>
      </c>
      <c r="D5" s="43">
        <f>'Assumptions'!$G$41</f>
        <v/>
      </c>
      <c r="E5" s="44">
        <f>IFERROR(INDEX('Assumptions'!$C$30:$C$32,MATCH(B5,'Assumptions'!$A$30:$A$32,0)),0)</f>
        <v/>
      </c>
      <c r="F5" s="45">
        <f>'Scenarios'!$E$6</f>
        <v/>
      </c>
      <c r="G5" s="46">
        <f>C5*E5*F5</f>
        <v/>
      </c>
      <c r="H5" s="46">
        <f>'Assumptions'!$C$21*'Scenarios'!$E$7</f>
        <v/>
      </c>
      <c r="I5" s="46">
        <f>G5-H5</f>
        <v/>
      </c>
      <c r="J5" s="37">
        <f>'Calc_Survival'!$C$7</f>
        <v/>
      </c>
      <c r="K5" s="46">
        <f>I5*J5</f>
        <v/>
      </c>
      <c r="L5" s="47">
        <f>IFERROR(1/(1+'Scenarios'!$E$9)^D5,0)</f>
        <v/>
      </c>
      <c r="M5" s="46">
        <f>K5*L5</f>
        <v/>
      </c>
      <c r="N5" s="46">
        <f>C5*E5</f>
        <v/>
      </c>
    </row>
    <row r="6">
      <c r="A6" s="2">
        <f>'Assumptions'!$A$42</f>
        <v/>
      </c>
      <c r="B6" s="41">
        <f>'Assumptions'!$B$42</f>
        <v/>
      </c>
      <c r="C6" s="42">
        <f>'Assumptions'!$D$42</f>
        <v/>
      </c>
      <c r="D6" s="43">
        <f>'Assumptions'!$G$42</f>
        <v/>
      </c>
      <c r="E6" s="44">
        <f>IFERROR(INDEX('Assumptions'!$C$30:$C$32,MATCH(B6,'Assumptions'!$A$30:$A$32,0)),0)</f>
        <v/>
      </c>
      <c r="F6" s="45">
        <f>'Scenarios'!$E$6</f>
        <v/>
      </c>
      <c r="G6" s="46">
        <f>C6*E6*F6</f>
        <v/>
      </c>
      <c r="H6" s="46">
        <f>'Assumptions'!$C$21*'Scenarios'!$E$7</f>
        <v/>
      </c>
      <c r="I6" s="46">
        <f>G6-H6</f>
        <v/>
      </c>
      <c r="J6" s="37">
        <f>'Calc_Survival'!$C$7</f>
        <v/>
      </c>
      <c r="K6" s="46">
        <f>I6*J6</f>
        <v/>
      </c>
      <c r="L6" s="47">
        <f>IFERROR(1/(1+'Scenarios'!$E$9)^D6,0)</f>
        <v/>
      </c>
      <c r="M6" s="46">
        <f>K6*L6</f>
        <v/>
      </c>
      <c r="N6" s="46">
        <f>C6*E6</f>
        <v/>
      </c>
    </row>
    <row r="7">
      <c r="A7" s="2">
        <f>'Assumptions'!$A$43</f>
        <v/>
      </c>
      <c r="B7" s="41">
        <f>'Assumptions'!$B$43</f>
        <v/>
      </c>
      <c r="C7" s="42">
        <f>'Assumptions'!$D$43</f>
        <v/>
      </c>
      <c r="D7" s="43">
        <f>'Assumptions'!$G$43</f>
        <v/>
      </c>
      <c r="E7" s="44">
        <f>IFERROR(INDEX('Assumptions'!$C$30:$C$32,MATCH(B7,'Assumptions'!$A$30:$A$32,0)),0)</f>
        <v/>
      </c>
      <c r="F7" s="45">
        <f>'Scenarios'!$E$6</f>
        <v/>
      </c>
      <c r="G7" s="46">
        <f>C7*E7*F7</f>
        <v/>
      </c>
      <c r="H7" s="46">
        <f>'Assumptions'!$C$21*'Scenarios'!$E$7</f>
        <v/>
      </c>
      <c r="I7" s="46">
        <f>G7-H7</f>
        <v/>
      </c>
      <c r="J7" s="37">
        <f>'Calc_Survival'!$C$7</f>
        <v/>
      </c>
      <c r="K7" s="46">
        <f>I7*J7</f>
        <v/>
      </c>
      <c r="L7" s="47">
        <f>IFERROR(1/(1+'Scenarios'!$E$9)^D7,0)</f>
        <v/>
      </c>
      <c r="M7" s="46">
        <f>K7*L7</f>
        <v/>
      </c>
      <c r="N7" s="46">
        <f>C7*E7</f>
        <v/>
      </c>
    </row>
    <row r="8">
      <c r="A8" s="2">
        <f>'Assumptions'!$A$44</f>
        <v/>
      </c>
      <c r="B8" s="41">
        <f>'Assumptions'!$B$44</f>
        <v/>
      </c>
      <c r="C8" s="42">
        <f>'Assumptions'!$D$44</f>
        <v/>
      </c>
      <c r="D8" s="43">
        <f>'Assumptions'!$G$44</f>
        <v/>
      </c>
      <c r="E8" s="44">
        <f>IFERROR(INDEX('Assumptions'!$C$30:$C$32,MATCH(B8,'Assumptions'!$A$30:$A$32,0)),0)</f>
        <v/>
      </c>
      <c r="F8" s="45">
        <f>'Scenarios'!$E$6</f>
        <v/>
      </c>
      <c r="G8" s="46">
        <f>C8*E8*F8</f>
        <v/>
      </c>
      <c r="H8" s="46">
        <f>'Assumptions'!$C$21*'Scenarios'!$E$7</f>
        <v/>
      </c>
      <c r="I8" s="46">
        <f>G8-H8</f>
        <v/>
      </c>
      <c r="J8" s="37">
        <f>'Calc_Survival'!$C$7</f>
        <v/>
      </c>
      <c r="K8" s="46">
        <f>I8*J8</f>
        <v/>
      </c>
      <c r="L8" s="47">
        <f>IFERROR(1/(1+'Scenarios'!$E$9)^D8,0)</f>
        <v/>
      </c>
      <c r="M8" s="46">
        <f>K8*L8</f>
        <v/>
      </c>
      <c r="N8" s="46">
        <f>C8*E8</f>
        <v/>
      </c>
    </row>
    <row r="9">
      <c r="A9" s="2">
        <f>'Assumptions'!$A$45</f>
        <v/>
      </c>
      <c r="B9" s="41">
        <f>'Assumptions'!$B$45</f>
        <v/>
      </c>
      <c r="C9" s="42">
        <f>'Assumptions'!$D$45</f>
        <v/>
      </c>
      <c r="D9" s="43">
        <f>'Assumptions'!$G$45</f>
        <v/>
      </c>
      <c r="E9" s="44">
        <f>IFERROR(INDEX('Assumptions'!$C$30:$C$32,MATCH(B9,'Assumptions'!$A$30:$A$32,0)),0)</f>
        <v/>
      </c>
      <c r="F9" s="45">
        <f>'Scenarios'!$E$6</f>
        <v/>
      </c>
      <c r="G9" s="46">
        <f>C9*E9*F9</f>
        <v/>
      </c>
      <c r="H9" s="46">
        <f>'Assumptions'!$C$21*'Scenarios'!$E$7</f>
        <v/>
      </c>
      <c r="I9" s="46">
        <f>G9-H9</f>
        <v/>
      </c>
      <c r="J9" s="37">
        <f>'Calc_Survival'!$C$7</f>
        <v/>
      </c>
      <c r="K9" s="46">
        <f>I9*J9</f>
        <v/>
      </c>
      <c r="L9" s="47">
        <f>IFERROR(1/(1+'Scenarios'!$E$9)^D9,0)</f>
        <v/>
      </c>
      <c r="M9" s="46">
        <f>K9*L9</f>
        <v/>
      </c>
      <c r="N9" s="46">
        <f>C9*E9</f>
        <v/>
      </c>
    </row>
    <row r="10">
      <c r="A10" s="3" t="inlineStr">
        <is>
          <t>Pipeline total (representative)</t>
        </is>
      </c>
      <c r="C10" s="48">
        <f>SUM(C4:C9)</f>
        <v/>
      </c>
      <c r="G10" s="49">
        <f>SUM(G4:G9)</f>
        <v/>
      </c>
      <c r="H10" s="49">
        <f>SUM(H4:H9)</f>
        <v/>
      </c>
      <c r="M10" s="49">
        <f>SUM(M4:M9)</f>
        <v/>
      </c>
    </row>
    <row r="11">
      <c r="A11" s="3" t="inlineStr">
        <is>
          <t>Blended RTB sale per project (@1x)</t>
        </is>
      </c>
      <c r="M11" s="50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3"/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7">
        <f>'Calc_Survival'!$C$7</f>
        <v/>
      </c>
    </row>
    <row r="6">
      <c r="A6" s="15" t="inlineStr">
        <is>
          <t>Projects target (delivered &amp; sold)</t>
        </is>
      </c>
      <c r="C6" s="42">
        <f>'Assumptions'!$C$10</f>
        <v/>
      </c>
    </row>
    <row r="7">
      <c r="A7" s="15" t="inlineStr">
        <is>
          <t>Projects started (funnel)</t>
        </is>
      </c>
      <c r="C7" s="51">
        <f>IFERROR(C6/C5,0)</f>
        <v/>
      </c>
    </row>
    <row r="8">
      <c r="A8" s="15" t="inlineStr">
        <is>
          <t>Projects failed (dropouts)</t>
        </is>
      </c>
      <c r="C8" s="51">
        <f>C7-C6</f>
        <v/>
      </c>
    </row>
    <row r="9">
      <c r="A9" s="15" t="inlineStr">
        <is>
          <t>Dev cost per project (live)</t>
        </is>
      </c>
      <c r="C9" s="46">
        <f>'Assumptions'!$C$21*'Scenarios'!$E$7</f>
        <v/>
      </c>
    </row>
    <row r="10">
      <c r="A10" s="3" t="inlineStr">
        <is>
          <t>Total development cost</t>
        </is>
      </c>
      <c r="C10" s="52">
        <f>C6*C9+C8*'Assumptions'!$C$22*C9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6">
        <f>'Calc_Project_rNPV'!$M$11*'Scenarios'!$E$6</f>
        <v/>
      </c>
    </row>
    <row r="13">
      <c r="A13" s="3" t="inlineStr">
        <is>
          <t>Gross proceeds</t>
        </is>
      </c>
      <c r="C13" s="52">
        <f>C6*C12</f>
        <v/>
      </c>
    </row>
    <row r="14">
      <c r="A14" s="3" t="inlineStr">
        <is>
          <t>Realised net programme profit (gross − total dev cost)</t>
        </is>
      </c>
      <c r="C14" s="52">
        <f>C13-C10</f>
        <v/>
      </c>
    </row>
    <row r="15">
      <c r="A15" s="15" t="inlineStr">
        <is>
          <t>Forward run-rate annual dev profit (= realised ÷ term)</t>
        </is>
      </c>
      <c r="C15" s="46">
        <f>IFERROR(C14/'Assumptions'!$C$11,0)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51">
        <f>AVERAGE('Calc_Project_rNPV'!$D$4:$D$9)</f>
        <v/>
      </c>
    </row>
    <row r="18">
      <c r="A18" s="15" t="inlineStr">
        <is>
          <t>Discount factor @ base over avg years</t>
        </is>
      </c>
      <c r="C18" s="47">
        <f>1/(1+'Assumptions'!$C$7)^C17</f>
        <v/>
      </c>
    </row>
    <row r="19">
      <c r="A19" s="15" t="inlineStr">
        <is>
          <t>Per-project rNPV (blended; live scenario)</t>
        </is>
      </c>
      <c r="C19" s="46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2">
        <f>'Assumptions'!$C$48</f>
        <v/>
      </c>
    </row>
    <row r="21">
      <c r="A21" s="3" t="inlineStr">
        <is>
          <t>Forward pipeline rNPV at exit (= depth × per-project)</t>
        </is>
      </c>
      <c r="C21" s="52">
        <f>C20*C19</f>
        <v/>
      </c>
    </row>
    <row r="22">
      <c r="A22" s="15" t="inlineStr">
        <is>
          <t>Net cash retained at exit (= MAX(0,realised) × (1−dist frac))</t>
        </is>
      </c>
      <c r="C22" s="52">
        <f>MAX(0,C14)*(1-'Assumptions'!$C$49)</f>
        <v/>
      </c>
    </row>
    <row r="23">
      <c r="A23" s="15" t="inlineStr">
        <is>
          <t>Debt at exit</t>
        </is>
      </c>
      <c r="C23" s="53">
        <f>'Assumptions'!$C$50</f>
        <v/>
      </c>
    </row>
    <row r="24">
      <c r="A24" s="3" t="inlineStr">
        <is>
          <t>Company exit equity = forward + retained − debt</t>
        </is>
      </c>
      <c r="C24" s="54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2">
        <f>MAX(0,C15)*'Assumptions'!$C$52+C22-C23</f>
        <v/>
      </c>
    </row>
    <row r="27">
      <c r="A27" s="15" t="inlineStr">
        <is>
          <t>Cross-check exit eq — base</t>
        </is>
      </c>
      <c r="C27" s="52">
        <f>MAX(0,C15)*'Assumptions'!$C$53+C22-C23</f>
        <v/>
      </c>
    </row>
    <row r="28">
      <c r="A28" s="15" t="inlineStr">
        <is>
          <t>Cross-check exit eq — high</t>
        </is>
      </c>
      <c r="C28" s="52">
        <f>MAX(0,C15)*'Assumptions'!$C$54+C22-C23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3">
        <f>'Assumptions'!$C$13</f>
        <v/>
      </c>
    </row>
    <row r="5">
      <c r="A5" s="15" t="inlineStr">
        <is>
          <t>Our investment</t>
        </is>
      </c>
      <c r="B5" s="53">
        <f>'Assumptions'!$C$14</f>
        <v/>
      </c>
    </row>
    <row r="6">
      <c r="A6" s="3" t="inlineStr">
        <is>
          <t>Post-money = pre-money + investment</t>
        </is>
      </c>
      <c r="B6" s="55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9">
        <f>B7*(1-'Assumptions'!$C$15)*(1-'Assumptions'!$C$16)</f>
        <v/>
      </c>
    </row>
    <row r="9"/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8">
        <f>'Scenarios'!$B$5*'Assumptions'!$C$27*'Assumptions'!$C$28</f>
        <v/>
      </c>
      <c r="C12" s="38">
        <f>'Scenarios'!$C$5*'Assumptions'!$C$27*'Assumptions'!$C$28</f>
        <v/>
      </c>
      <c r="D12" s="38">
        <f>'Scenarios'!$D$5*'Assumptions'!$C$27*'Assumptions'!$C$28</f>
        <v/>
      </c>
    </row>
    <row r="13">
      <c r="A13" s="15" t="inlineStr">
        <is>
          <t>RTB price multiplier</t>
        </is>
      </c>
      <c r="B13" s="45">
        <f>'Scenarios'!$B$6</f>
        <v/>
      </c>
      <c r="C13" s="45">
        <f>'Scenarios'!$C$6</f>
        <v/>
      </c>
      <c r="D13" s="45">
        <f>'Scenarios'!$D$6</f>
        <v/>
      </c>
    </row>
    <row r="14">
      <c r="A14" s="15" t="inlineStr">
        <is>
          <t>Dev cost multiplier</t>
        </is>
      </c>
      <c r="B14" s="45">
        <f>'Scenarios'!$B$7</f>
        <v/>
      </c>
      <c r="C14" s="45">
        <f>'Scenarios'!$C$7</f>
        <v/>
      </c>
      <c r="D14" s="45">
        <f>'Scenarios'!$D$7</f>
        <v/>
      </c>
    </row>
    <row r="15">
      <c r="A15" s="15" t="inlineStr">
        <is>
          <t>Dev cost per project</t>
        </is>
      </c>
      <c r="B15" s="46">
        <f>'Assumptions'!$C$21*B14</f>
        <v/>
      </c>
      <c r="C15" s="46">
        <f>'Assumptions'!$C$21*C14</f>
        <v/>
      </c>
      <c r="D15" s="46">
        <f>'Assumptions'!$C$21*D14</f>
        <v/>
      </c>
    </row>
    <row r="16">
      <c r="A16" s="15" t="inlineStr">
        <is>
          <t>Projects started</t>
        </is>
      </c>
      <c r="B16" s="51">
        <f>IFERROR('Assumptions'!$C$10/B12,0)</f>
        <v/>
      </c>
      <c r="C16" s="51">
        <f>IFERROR('Assumptions'!$C$10/C12,0)</f>
        <v/>
      </c>
      <c r="D16" s="51">
        <f>IFERROR('Assumptions'!$C$10/D12,0)</f>
        <v/>
      </c>
    </row>
    <row r="17">
      <c r="A17" s="15" t="inlineStr">
        <is>
          <t>Projects failed</t>
        </is>
      </c>
      <c r="B17" s="51">
        <f>B16-'Assumptions'!$C$10</f>
        <v/>
      </c>
      <c r="C17" s="51">
        <f>C16-'Assumptions'!$C$10</f>
        <v/>
      </c>
      <c r="D17" s="51">
        <f>D16-'Assumptions'!$C$10</f>
        <v/>
      </c>
    </row>
    <row r="18">
      <c r="A18" s="15" t="inlineStr">
        <is>
          <t>Total dev cost</t>
        </is>
      </c>
      <c r="B18" s="52">
        <f>'Assumptions'!$C$10*B15+B17*'Assumptions'!$C$22*B15</f>
        <v/>
      </c>
      <c r="C18" s="52">
        <f>'Assumptions'!$C$10*C15+C17*'Assumptions'!$C$22*C15</f>
        <v/>
      </c>
      <c r="D18" s="52">
        <f>'Assumptions'!$C$10*D15+D17*'Assumptions'!$C$22*D15</f>
        <v/>
      </c>
    </row>
    <row r="19">
      <c r="A19" s="15" t="inlineStr">
        <is>
          <t>Gross proceeds</t>
        </is>
      </c>
      <c r="B19" s="52">
        <f>'Assumptions'!$C$10*'Calc_Project_rNPV'!$M$11*B13</f>
        <v/>
      </c>
      <c r="C19" s="52">
        <f>'Assumptions'!$C$10*'Calc_Project_rNPV'!$M$11*C13</f>
        <v/>
      </c>
      <c r="D19" s="52">
        <f>'Assumptions'!$C$10*'Calc_Project_rNPV'!$M$11*D13</f>
        <v/>
      </c>
    </row>
    <row r="20">
      <c r="A20" s="15" t="inlineStr">
        <is>
          <t>Realised net programme profit</t>
        </is>
      </c>
      <c r="B20" s="52">
        <f>B19-B18</f>
        <v/>
      </c>
      <c r="C20" s="52">
        <f>C19-C18</f>
        <v/>
      </c>
      <c r="D20" s="52">
        <f>D19-D18</f>
        <v/>
      </c>
    </row>
    <row r="21">
      <c r="A21" s="15" t="inlineStr">
        <is>
          <t>Forward pipeline rNPV at exit (depth × per-project)</t>
        </is>
      </c>
      <c r="B21" s="46">
        <f>'Assumptions'!$C$48*('Calc_Project_rNPV'!$M$11*B13-B15)*B12*'Calc_Company'!$C$18</f>
        <v/>
      </c>
      <c r="C21" s="46">
        <f>'Assumptions'!$C$48*('Calc_Project_rNPV'!$M$11*C13-C15)*C12*'Calc_Company'!$C$18</f>
        <v/>
      </c>
      <c r="D21" s="46">
        <f>'Assumptions'!$C$48*('Calc_Project_rNPV'!$M$11*D13-D15)*D12*'Calc_Company'!$C$18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6">
        <f>MAX(0,B20)*(1-'Assumptions'!$C$49)</f>
        <v/>
      </c>
      <c r="C22" s="46">
        <f>MAX(0,C20)*(1-'Assumptions'!$C$49)</f>
        <v/>
      </c>
      <c r="D22" s="46">
        <f>MAX(0,D20)*(1-'Assumptions'!$C$49)</f>
        <v/>
      </c>
    </row>
    <row r="23">
      <c r="A23" s="3" t="inlineStr">
        <is>
          <t>Company exit equity = fwd + retained − debt</t>
        </is>
      </c>
      <c r="B23" s="55">
        <f>MAX(0,B21+B22-'Assumptions'!$C$50)</f>
        <v/>
      </c>
      <c r="C23" s="55">
        <f>MAX(0,C21+C22-'Assumptions'!$C$50)</f>
        <v/>
      </c>
      <c r="D23" s="55">
        <f>MAX(0,D21+D22-'Assumptions'!$C$50)</f>
        <v/>
      </c>
    </row>
    <row r="24">
      <c r="A24" s="15" t="inlineStr">
        <is>
          <t>As-converted (diluted × exit equity)</t>
        </is>
      </c>
      <c r="B24" s="46">
        <f>'Returns'!$B$8*B23</f>
        <v/>
      </c>
      <c r="C24" s="46">
        <f>'Returns'!$B$8*C23</f>
        <v/>
      </c>
      <c r="D24" s="46">
        <f>'Returns'!$B$8*D23</f>
        <v/>
      </c>
    </row>
    <row r="25">
      <c r="A25" s="15" t="inlineStr">
        <is>
          <t>Preference claim = MIN(liq×inv, exit eq)</t>
        </is>
      </c>
      <c r="B25" s="46">
        <f>MIN('Assumptions'!$C$17*'Assumptions'!$C$14,B23)</f>
        <v/>
      </c>
      <c r="C25" s="46">
        <f>MIN('Assumptions'!$C$17*'Assumptions'!$C$14,C23)</f>
        <v/>
      </c>
      <c r="D25" s="46">
        <f>MIN('Assumptions'!$C$17*'Assumptions'!$C$14,D23)</f>
        <v/>
      </c>
    </row>
    <row r="26">
      <c r="A26" s="3" t="inlineStr">
        <is>
          <t>Terminal proceeds = MAX(pref, as-converted)</t>
        </is>
      </c>
      <c r="B26" s="49">
        <f>MAX(B25,B24)</f>
        <v/>
      </c>
      <c r="C26" s="49">
        <f>MAX(C25,C24)</f>
        <v/>
      </c>
      <c r="D26" s="49">
        <f>MAX(D25,D24)</f>
        <v/>
      </c>
    </row>
    <row r="27">
      <c r="A27" s="15" t="inlineStr">
        <is>
          <t>Interim distributions (diluted×dist×realised)</t>
        </is>
      </c>
      <c r="B27" s="46">
        <f>'Returns'!$B$8*'Assumptions'!$C$49*MAX(0,B20)</f>
        <v/>
      </c>
      <c r="C27" s="46">
        <f>'Returns'!$B$8*'Assumptions'!$C$49*MAX(0,C20)</f>
        <v/>
      </c>
      <c r="D27" s="46">
        <f>'Returns'!$B$8*'Assumptions'!$C$49*MAX(0,D20)</f>
        <v/>
      </c>
    </row>
    <row r="28">
      <c r="A28" s="3" t="inlineStr">
        <is>
          <t>Our total proceeds = terminal + interim</t>
        </is>
      </c>
      <c r="B28" s="49">
        <f>B26+B27</f>
        <v/>
      </c>
      <c r="C28" s="49">
        <f>C26+C27</f>
        <v/>
      </c>
      <c r="D28" s="49">
        <f>D26+D27</f>
        <v/>
      </c>
    </row>
    <row r="29">
      <c r="A29" s="3" t="inlineStr">
        <is>
          <t>MOIC = our proceeds ÷ our investment</t>
        </is>
      </c>
      <c r="B29" s="56">
        <f>IFERROR(B28/'Assumptions'!$C$14,0)</f>
        <v/>
      </c>
      <c r="C29" s="56">
        <f>IFERROR(C28/'Assumptions'!$C$14,0)</f>
        <v/>
      </c>
      <c r="D29" s="56">
        <f>IFERROR(D28/'Assumptions'!$C$14,0)</f>
        <v/>
      </c>
    </row>
    <row r="30">
      <c r="A30" s="3" t="inlineStr">
        <is>
          <t>Equity IRR = MOIC^(1/exit yr) − 1</t>
        </is>
      </c>
      <c r="B30" s="18">
        <f>IFERROR(B29^(1/'Assumptions'!$C$18)-1,-1)</f>
        <v/>
      </c>
      <c r="C30" s="18">
        <f>IFERROR(C29^(1/'Assumptions'!$C$18)-1,-1)</f>
        <v/>
      </c>
      <c r="D30" s="18">
        <f>IFERROR(D29^(1/'Assumptions'!$C$18)-1,-1)</f>
        <v/>
      </c>
    </row>
    <row r="31"/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33">
        <f>'Scenarios'!$B$13</f>
        <v/>
      </c>
      <c r="C34" s="33">
        <f>'Scenarios'!$C$13</f>
        <v/>
      </c>
      <c r="D34" s="33">
        <f>'Scenarios'!$D$13</f>
        <v/>
      </c>
    </row>
    <row r="35">
      <c r="A35" s="15" t="inlineStr">
        <is>
          <t>Our proceeds</t>
        </is>
      </c>
      <c r="B35" s="57">
        <f>'Returns'!$B$28</f>
        <v/>
      </c>
      <c r="C35" s="57">
        <f>'Returns'!$C$28</f>
        <v/>
      </c>
      <c r="D35" s="57">
        <f>'Returns'!$D$28</f>
        <v/>
      </c>
      <c r="E35" s="49">
        <f>SUMPRODUCT('Scenarios'!$B$13:$D$13,B35:D35)</f>
        <v/>
      </c>
    </row>
    <row r="36">
      <c r="A36" s="3" t="inlineStr">
        <is>
          <t>Expected MOIC = exp proceeds ÷ investment</t>
        </is>
      </c>
      <c r="E36" s="56">
        <f>IFERROR(E35/'Assumptions'!$C$14,0)</f>
        <v/>
      </c>
    </row>
    <row r="37">
      <c r="A37" s="3" t="inlineStr">
        <is>
          <t>Expected equity IRR = exp MOIC^(1/exit yr) − 1</t>
        </is>
      </c>
      <c r="E37" s="39">
        <f>IFERROR(E36^(1/'Assumptions'!$C$18)-1,-1)</f>
        <v/>
      </c>
    </row>
    <row r="38"/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7">
        <f>'Calc_Project_rNPV'!$M$10</f>
        <v/>
      </c>
    </row>
    <row r="41">
      <c r="A41" s="15" t="inlineStr">
        <is>
          <t>$/MW benchmark (dev value)</t>
        </is>
      </c>
      <c r="C41" s="57">
        <f>'Calc_CrossChecks'!$C$9</f>
        <v/>
      </c>
    </row>
    <row r="42">
      <c r="A42" s="15" t="inlineStr">
        <is>
          <t>VC method (today value)</t>
        </is>
      </c>
      <c r="C42" s="57">
        <f>'Calc_CrossChecks'!$C$18</f>
        <v/>
      </c>
    </row>
    <row r="43">
      <c r="A43" s="3" t="inlineStr">
        <is>
          <t>Low</t>
        </is>
      </c>
      <c r="C43" s="49">
        <f>MIN(C40:C42)</f>
        <v/>
      </c>
    </row>
    <row r="44">
      <c r="A44" s="3" t="inlineStr">
        <is>
          <t>Midpoint</t>
        </is>
      </c>
      <c r="C44" s="50">
        <f>AVERAGE(C40:C42)</f>
        <v/>
      </c>
    </row>
    <row r="45">
      <c r="A45" s="3" t="inlineStr">
        <is>
          <t>High</t>
        </is>
      </c>
      <c r="C45" s="49">
        <f>MAX(C40:C42)</f>
        <v/>
      </c>
    </row>
    <row r="46"/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8">
        <f>1-'Returns'!$B$7</f>
        <v/>
      </c>
      <c r="C49" s="38">
        <f>(1-'Returns'!$B$7)*(1-'Assumptions'!$C$15)*(1-'Assumptions'!$C$16)</f>
        <v/>
      </c>
    </row>
    <row r="50">
      <c r="A50" s="3" t="inlineStr">
        <is>
          <t>Us (new investor)</t>
        </is>
      </c>
      <c r="B50" s="37">
        <f>'Returns'!$B$7</f>
        <v/>
      </c>
      <c r="C50" s="58">
        <f>'Returns'!$B$8</f>
        <v/>
      </c>
    </row>
    <row r="51">
      <c r="A51" s="15" t="inlineStr">
        <is>
          <t>Option pool (staff)</t>
        </is>
      </c>
      <c r="B51" s="38" t="n">
        <v>0</v>
      </c>
      <c r="C51" s="38">
        <f>'Assumptions'!$C$15*(1-'Assumptions'!$C$16)</f>
        <v/>
      </c>
    </row>
    <row r="52">
      <c r="A52" s="15" t="inlineStr">
        <is>
          <t>Future-round investors</t>
        </is>
      </c>
      <c r="B52" s="38" t="n">
        <v>0</v>
      </c>
      <c r="C52" s="37">
        <f>'Assumptions'!$C$16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4"/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7">
        <f>'Returns'!$C$23</f>
        <v/>
      </c>
    </row>
    <row r="57">
      <c r="A57" s="3" t="inlineStr">
        <is>
          <t>Our terminal proceeds (1x pref / as-converted)</t>
        </is>
      </c>
      <c r="C57" s="57">
        <f>'Returns'!$C$26</f>
        <v/>
      </c>
    </row>
    <row r="58">
      <c r="A58" s="15" t="inlineStr">
        <is>
          <t>Other holders' proceeds (residual)</t>
        </is>
      </c>
      <c r="C58" s="46">
        <f>C56-C57</f>
        <v/>
      </c>
    </row>
    <row r="59">
      <c r="A59" s="3" t="inlineStr">
        <is>
          <t>Distributed (ours + others = exit equity)</t>
        </is>
      </c>
      <c r="C59" s="49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2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2">
        <f>'Assumptions'!$C$21*'Scenarios'!$C$7*COUNT('Calc_Project_rNPV'!$C$4:$C$9)</f>
        <v/>
      </c>
    </row>
    <row r="7">
      <c r="A7" s="15" t="inlineStr">
        <is>
          <t>Average years to sale</t>
        </is>
      </c>
      <c r="C7" s="51">
        <f>AVERAGE('Calc_Project_rNPV'!$D$4:$D$9)</f>
        <v/>
      </c>
    </row>
    <row r="8">
      <c r="A8" s="15" t="inlineStr">
        <is>
          <t>Flip success (Base, DA x conn x sale)</t>
        </is>
      </c>
      <c r="C8" s="38">
        <f>'Scenarios'!$C$5*'Assumptions'!$C$27*'Assumptions'!$C$28</f>
        <v/>
      </c>
    </row>
    <row r="9">
      <c r="A9" s="15" t="inlineStr">
        <is>
          <t>$/MW implied dev value $m</t>
        </is>
      </c>
      <c r="C9" s="49">
        <f>IFERROR((C5-C6)*C8/(1+'Assumptions'!$C$7)^C7,0)</f>
        <v/>
      </c>
    </row>
    <row r="10"/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2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2">
        <f>C6</f>
        <v/>
      </c>
    </row>
    <row r="14">
      <c r="A14" s="15" t="inlineStr">
        <is>
          <t>Flip success (Base)</t>
        </is>
      </c>
      <c r="C14" s="37">
        <f>C8</f>
        <v/>
      </c>
    </row>
    <row r="15">
      <c r="A15" s="15" t="inlineStr">
        <is>
          <t>Exit equity value (expected) $m</t>
        </is>
      </c>
      <c r="C15" s="46">
        <f>C14*(C12-C13)</f>
        <v/>
      </c>
    </row>
    <row r="16">
      <c r="A16" s="15" t="inlineStr">
        <is>
          <t>VC target return</t>
        </is>
      </c>
      <c r="C16" s="37">
        <f>'Assumptions'!$C$34</f>
        <v/>
      </c>
    </row>
    <row r="17">
      <c r="A17" s="15" t="inlineStr">
        <is>
          <t>Hold horizon (yrs)</t>
        </is>
      </c>
      <c r="C17" s="42">
        <f>'Assumptions'!$C$11</f>
        <v/>
      </c>
    </row>
    <row r="18">
      <c r="A18" s="15" t="inlineStr">
        <is>
          <t>VC today value $m</t>
        </is>
      </c>
      <c r="C18" s="49">
        <f>IFERROR(C15/(1+C16)^C17,0)</f>
        <v/>
      </c>
    </row>
    <row r="19"/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9">
        <f>'Assumptions'!$C$30</f>
        <v/>
      </c>
      <c r="C22" s="59">
        <f>'Assumptions'!$C$24</f>
        <v/>
      </c>
      <c r="D22" s="38">
        <f>IFERROR(B22/C22,0)</f>
        <v/>
      </c>
    </row>
    <row r="23">
      <c r="A23" s="15" t="inlineStr">
        <is>
          <t>VIC</t>
        </is>
      </c>
      <c r="B23" s="59">
        <f>'Assumptions'!$C$31</f>
        <v/>
      </c>
      <c r="C23" s="59">
        <f>'Assumptions'!$C$24</f>
        <v/>
      </c>
      <c r="D23" s="38">
        <f>IFERROR(B23/C23,0)</f>
        <v/>
      </c>
    </row>
    <row r="24">
      <c r="A24" s="15" t="inlineStr">
        <is>
          <t>SA</t>
        </is>
      </c>
      <c r="B24" s="59">
        <f>'Assumptions'!$C$32</f>
        <v/>
      </c>
      <c r="C24" s="59">
        <f>'Assumptions'!$C$24</f>
        <v/>
      </c>
      <c r="D24" s="38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3"/>
    <row r="4">
      <c r="A4" s="15" t="inlineStr">
        <is>
          <t>Conn × sale (flip adj)</t>
        </is>
      </c>
      <c r="B4" s="38">
        <f>'Assumptions'!$C$27*'Assumptions'!$C$28</f>
        <v/>
      </c>
    </row>
    <row r="5">
      <c r="A5" s="15" t="inlineStr">
        <is>
          <t>Diluted ownership</t>
        </is>
      </c>
      <c r="B5" s="37">
        <f>'Returns'!$B$8</f>
        <v/>
      </c>
    </row>
    <row r="6">
      <c r="A6" s="15" t="inlineStr">
        <is>
          <t>Pipeline depth at exit</t>
        </is>
      </c>
      <c r="B6" s="42">
        <f>'Assumptions'!$C$48</f>
        <v/>
      </c>
    </row>
    <row r="7">
      <c r="A7" s="15" t="inlineStr">
        <is>
          <t>Preference cap (liq × investment) $m</t>
        </is>
      </c>
      <c r="B7" s="46">
        <f>'Assumptions'!$C$17*'Assumptions'!$C$14</f>
        <v/>
      </c>
    </row>
    <row r="8">
      <c r="A8" s="15" t="inlineStr">
        <is>
          <t>Our investment $m</t>
        </is>
      </c>
      <c r="B8" s="57">
        <f>'Assumptions'!$C$14</f>
        <v/>
      </c>
    </row>
    <row r="9">
      <c r="A9" s="15" t="inlineStr">
        <is>
          <t>Exit year</t>
        </is>
      </c>
      <c r="B9" s="42">
        <f>'Assumptions'!$C$18</f>
        <v/>
      </c>
    </row>
    <row r="10">
      <c r="A10" s="15" t="inlineStr">
        <is>
          <t>Base blended sale/project $m</t>
        </is>
      </c>
      <c r="B10" s="57">
        <f>'Calc_Project_rNPV'!$M$11</f>
        <v/>
      </c>
    </row>
    <row r="11">
      <c r="A11" s="15" t="inlineStr">
        <is>
          <t>Dev cost/project $m</t>
        </is>
      </c>
      <c r="B11" s="57">
        <f>'Assumptions'!$C$21</f>
        <v/>
      </c>
    </row>
    <row r="12">
      <c r="A12" s="15" t="inlineStr">
        <is>
          <t>Disc factor @ base over avg years</t>
        </is>
      </c>
      <c r="B12" s="60">
        <f>'Calc_Company'!$C$18</f>
        <v/>
      </c>
    </row>
    <row r="13">
      <c r="A13" s="15" t="inlineStr">
        <is>
          <t>Retain fraction (1 − dist)</t>
        </is>
      </c>
      <c r="B13" s="38">
        <f>1-'Assumptions'!$C$49</f>
        <v/>
      </c>
    </row>
    <row r="14">
      <c r="A14" s="15" t="inlineStr">
        <is>
          <t>Debt at exit $m</t>
        </is>
      </c>
      <c r="B14" s="57">
        <f>'Assumptions'!$C$50</f>
        <v/>
      </c>
    </row>
    <row r="15"/>
    <row r="16"/>
    <row r="17">
      <c r="B17" s="61" t="inlineStr">
        <is>
          <t>Price mult →</t>
        </is>
      </c>
      <c r="C17" s="28" t="n">
        <v>0.7</v>
      </c>
      <c r="D17" s="28" t="n">
        <v>0.85</v>
      </c>
      <c r="E17" s="28" t="n">
        <v>1</v>
      </c>
      <c r="F17" s="28" t="n">
        <v>1.15</v>
      </c>
      <c r="G17" s="28" t="n">
        <v>1.3</v>
      </c>
    </row>
    <row r="18">
      <c r="B18" s="61" t="inlineStr">
        <is>
          <t>Gross $m →</t>
        </is>
      </c>
      <c r="C18" s="62">
        <f>'Assumptions'!$C$10*'Calc_Project_rNPV'!$M$11*C17</f>
        <v/>
      </c>
      <c r="D18" s="62">
        <f>'Assumptions'!$C$10*'Calc_Project_rNPV'!$M$11*D17</f>
        <v/>
      </c>
      <c r="E18" s="62">
        <f>'Assumptions'!$C$10*'Calc_Project_rNPV'!$M$11*E17</f>
        <v/>
      </c>
      <c r="F18" s="62">
        <f>'Assumptions'!$C$10*'Calc_Project_rNPV'!$M$11*F17</f>
        <v/>
      </c>
      <c r="G18" s="62">
        <f>'Assumptions'!$C$10*'Calc_Project_rNPV'!$M$11*G17</f>
        <v/>
      </c>
    </row>
    <row r="19">
      <c r="B19" s="63" t="inlineStr">
        <is>
          <t>DA gate ↓</t>
        </is>
      </c>
      <c r="C19" s="63" t="inlineStr">
        <is>
          <t>IRR</t>
        </is>
      </c>
      <c r="D19" s="63" t="inlineStr">
        <is>
          <t>IRR</t>
        </is>
      </c>
      <c r="E19" s="63" t="inlineStr">
        <is>
          <t>IRR</t>
        </is>
      </c>
      <c r="F19" s="63" t="inlineStr">
        <is>
          <t>IRR</t>
        </is>
      </c>
      <c r="G19" s="63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8">
        <f>IFERROR((R20/$B$8)^(1/$B$9)-1,-1)</f>
        <v/>
      </c>
      <c r="D20" s="38">
        <f>IFERROR((S20/$B$8)^(1/$B$9)-1,-1)</f>
        <v/>
      </c>
      <c r="E20" s="38">
        <f>IFERROR((T20/$B$8)^(1/$B$9)-1,-1)</f>
        <v/>
      </c>
      <c r="F20" s="38">
        <f>IFERROR((U20/$B$8)^(1/$B$9)-1,-1)</f>
        <v/>
      </c>
      <c r="G20" s="38">
        <f>IFERROR((V20/$B$8)^(1/$B$9)-1,-1)</f>
        <v/>
      </c>
      <c r="H20" s="38">
        <f>$B20*$B$4</f>
        <v/>
      </c>
      <c r="I20" s="51">
        <f>IFERROR('Assumptions'!$C$10/H20,0)</f>
        <v/>
      </c>
      <c r="J20" s="52">
        <f>'Assumptions'!$C$21*('Assumptions'!$C$10+(I20-'Assumptions'!$C$10)*'Assumptions'!$C$22)</f>
        <v/>
      </c>
      <c r="L20" s="46">
        <f>MAX(0,$B$6*($B$10*C$17-$B$11)*$H20*$B$12+MAX(0,C$18-$J20)*$B$13-$B$14)</f>
        <v/>
      </c>
      <c r="M20" s="46">
        <f>MAX(0,$B$6*($B$10*D$17-$B$11)*$H20*$B$12+MAX(0,D$18-$J20)*$B$13-$B$14)</f>
        <v/>
      </c>
      <c r="N20" s="46">
        <f>MAX(0,$B$6*($B$10*E$17-$B$11)*$H20*$B$12+MAX(0,E$18-$J20)*$B$13-$B$14)</f>
        <v/>
      </c>
      <c r="O20" s="46">
        <f>MAX(0,$B$6*($B$10*F$17-$B$11)*$H20*$B$12+MAX(0,F$18-$J20)*$B$13-$B$14)</f>
        <v/>
      </c>
      <c r="P20" s="46">
        <f>MAX(0,$B$6*($B$10*G$17-$B$11)*$H20*$B$12+MAX(0,G$18-$J20)*$B$13-$B$14)</f>
        <v/>
      </c>
      <c r="R20" s="46">
        <f>MAX(MIN($B$7,L20),$B$5*L20)</f>
        <v/>
      </c>
      <c r="S20" s="46">
        <f>MAX(MIN($B$7,M20),$B$5*M20)</f>
        <v/>
      </c>
      <c r="T20" s="46">
        <f>MAX(MIN($B$7,N20),$B$5*N20)</f>
        <v/>
      </c>
      <c r="U20" s="46">
        <f>MAX(MIN($B$7,O20),$B$5*O20)</f>
        <v/>
      </c>
      <c r="V20" s="46">
        <f>MAX(MIN($B$7,P20),$B$5*P20)</f>
        <v/>
      </c>
    </row>
    <row r="21">
      <c r="B21" s="25" t="n">
        <v>0.55</v>
      </c>
      <c r="C21" s="38">
        <f>IFERROR((R21/$B$8)^(1/$B$9)-1,-1)</f>
        <v/>
      </c>
      <c r="D21" s="38">
        <f>IFERROR((S21/$B$8)^(1/$B$9)-1,-1)</f>
        <v/>
      </c>
      <c r="E21" s="38">
        <f>IFERROR((T21/$B$8)^(1/$B$9)-1,-1)</f>
        <v/>
      </c>
      <c r="F21" s="38">
        <f>IFERROR((U21/$B$8)^(1/$B$9)-1,-1)</f>
        <v/>
      </c>
      <c r="G21" s="38">
        <f>IFERROR((V21/$B$8)^(1/$B$9)-1,-1)</f>
        <v/>
      </c>
      <c r="H21" s="38">
        <f>$B21*$B$4</f>
        <v/>
      </c>
      <c r="I21" s="51">
        <f>IFERROR('Assumptions'!$C$10/H21,0)</f>
        <v/>
      </c>
      <c r="J21" s="52">
        <f>'Assumptions'!$C$21*('Assumptions'!$C$10+(I21-'Assumptions'!$C$10)*'Assumptions'!$C$22)</f>
        <v/>
      </c>
      <c r="L21" s="46">
        <f>MAX(0,$B$6*($B$10*C$17-$B$11)*$H21*$B$12+MAX(0,C$18-$J21)*$B$13-$B$14)</f>
        <v/>
      </c>
      <c r="M21" s="46">
        <f>MAX(0,$B$6*($B$10*D$17-$B$11)*$H21*$B$12+MAX(0,D$18-$J21)*$B$13-$B$14)</f>
        <v/>
      </c>
      <c r="N21" s="46">
        <f>MAX(0,$B$6*($B$10*E$17-$B$11)*$H21*$B$12+MAX(0,E$18-$J21)*$B$13-$B$14)</f>
        <v/>
      </c>
      <c r="O21" s="46">
        <f>MAX(0,$B$6*($B$10*F$17-$B$11)*$H21*$B$12+MAX(0,F$18-$J21)*$B$13-$B$14)</f>
        <v/>
      </c>
      <c r="P21" s="46">
        <f>MAX(0,$B$6*($B$10*G$17-$B$11)*$H21*$B$12+MAX(0,G$18-$J21)*$B$13-$B$14)</f>
        <v/>
      </c>
      <c r="R21" s="46">
        <f>MAX(MIN($B$7,L21),$B$5*L21)</f>
        <v/>
      </c>
      <c r="S21" s="46">
        <f>MAX(MIN($B$7,M21),$B$5*M21)</f>
        <v/>
      </c>
      <c r="T21" s="46">
        <f>MAX(MIN($B$7,N21),$B$5*N21)</f>
        <v/>
      </c>
      <c r="U21" s="46">
        <f>MAX(MIN($B$7,O21),$B$5*O21)</f>
        <v/>
      </c>
      <c r="V21" s="46">
        <f>MAX(MIN($B$7,P21),$B$5*P21)</f>
        <v/>
      </c>
    </row>
    <row r="22">
      <c r="B22" s="25" t="n">
        <v>0.65</v>
      </c>
      <c r="C22" s="38">
        <f>IFERROR((R22/$B$8)^(1/$B$9)-1,-1)</f>
        <v/>
      </c>
      <c r="D22" s="38">
        <f>IFERROR((S22/$B$8)^(1/$B$9)-1,-1)</f>
        <v/>
      </c>
      <c r="E22" s="38">
        <f>IFERROR((T22/$B$8)^(1/$B$9)-1,-1)</f>
        <v/>
      </c>
      <c r="F22" s="38">
        <f>IFERROR((U22/$B$8)^(1/$B$9)-1,-1)</f>
        <v/>
      </c>
      <c r="G22" s="38">
        <f>IFERROR((V22/$B$8)^(1/$B$9)-1,-1)</f>
        <v/>
      </c>
      <c r="H22" s="38">
        <f>$B22*$B$4</f>
        <v/>
      </c>
      <c r="I22" s="51">
        <f>IFERROR('Assumptions'!$C$10/H22,0)</f>
        <v/>
      </c>
      <c r="J22" s="52">
        <f>'Assumptions'!$C$21*('Assumptions'!$C$10+(I22-'Assumptions'!$C$10)*'Assumptions'!$C$22)</f>
        <v/>
      </c>
      <c r="L22" s="46">
        <f>MAX(0,$B$6*($B$10*C$17-$B$11)*$H22*$B$12+MAX(0,C$18-$J22)*$B$13-$B$14)</f>
        <v/>
      </c>
      <c r="M22" s="46">
        <f>MAX(0,$B$6*($B$10*D$17-$B$11)*$H22*$B$12+MAX(0,D$18-$J22)*$B$13-$B$14)</f>
        <v/>
      </c>
      <c r="N22" s="46">
        <f>MAX(0,$B$6*($B$10*E$17-$B$11)*$H22*$B$12+MAX(0,E$18-$J22)*$B$13-$B$14)</f>
        <v/>
      </c>
      <c r="O22" s="46">
        <f>MAX(0,$B$6*($B$10*F$17-$B$11)*$H22*$B$12+MAX(0,F$18-$J22)*$B$13-$B$14)</f>
        <v/>
      </c>
      <c r="P22" s="46">
        <f>MAX(0,$B$6*($B$10*G$17-$B$11)*$H22*$B$12+MAX(0,G$18-$J22)*$B$13-$B$14)</f>
        <v/>
      </c>
      <c r="R22" s="46">
        <f>MAX(MIN($B$7,L22),$B$5*L22)</f>
        <v/>
      </c>
      <c r="S22" s="46">
        <f>MAX(MIN($B$7,M22),$B$5*M22)</f>
        <v/>
      </c>
      <c r="T22" s="46">
        <f>MAX(MIN($B$7,N22),$B$5*N22)</f>
        <v/>
      </c>
      <c r="U22" s="46">
        <f>MAX(MIN($B$7,O22),$B$5*O22)</f>
        <v/>
      </c>
      <c r="V22" s="46">
        <f>MAX(MIN($B$7,P22),$B$5*P22)</f>
        <v/>
      </c>
    </row>
    <row r="23">
      <c r="B23" s="25" t="n">
        <v>0.8</v>
      </c>
      <c r="C23" s="38">
        <f>IFERROR((R23/$B$8)^(1/$B$9)-1,-1)</f>
        <v/>
      </c>
      <c r="D23" s="38">
        <f>IFERROR((S23/$B$8)^(1/$B$9)-1,-1)</f>
        <v/>
      </c>
      <c r="E23" s="38">
        <f>IFERROR((T23/$B$8)^(1/$B$9)-1,-1)</f>
        <v/>
      </c>
      <c r="F23" s="38">
        <f>IFERROR((U23/$B$8)^(1/$B$9)-1,-1)</f>
        <v/>
      </c>
      <c r="G23" s="38">
        <f>IFERROR((V23/$B$8)^(1/$B$9)-1,-1)</f>
        <v/>
      </c>
      <c r="H23" s="38">
        <f>$B23*$B$4</f>
        <v/>
      </c>
      <c r="I23" s="51">
        <f>IFERROR('Assumptions'!$C$10/H23,0)</f>
        <v/>
      </c>
      <c r="J23" s="52">
        <f>'Assumptions'!$C$21*('Assumptions'!$C$10+(I23-'Assumptions'!$C$10)*'Assumptions'!$C$22)</f>
        <v/>
      </c>
      <c r="L23" s="46">
        <f>MAX(0,$B$6*($B$10*C$17-$B$11)*$H23*$B$12+MAX(0,C$18-$J23)*$B$13-$B$14)</f>
        <v/>
      </c>
      <c r="M23" s="46">
        <f>MAX(0,$B$6*($B$10*D$17-$B$11)*$H23*$B$12+MAX(0,D$18-$J23)*$B$13-$B$14)</f>
        <v/>
      </c>
      <c r="N23" s="46">
        <f>MAX(0,$B$6*($B$10*E$17-$B$11)*$H23*$B$12+MAX(0,E$18-$J23)*$B$13-$B$14)</f>
        <v/>
      </c>
      <c r="O23" s="46">
        <f>MAX(0,$B$6*($B$10*F$17-$B$11)*$H23*$B$12+MAX(0,F$18-$J23)*$B$13-$B$14)</f>
        <v/>
      </c>
      <c r="P23" s="46">
        <f>MAX(0,$B$6*($B$10*G$17-$B$11)*$H23*$B$12+MAX(0,G$18-$J23)*$B$13-$B$14)</f>
        <v/>
      </c>
      <c r="R23" s="46">
        <f>MAX(MIN($B$7,L23),$B$5*L23)</f>
        <v/>
      </c>
      <c r="S23" s="46">
        <f>MAX(MIN($B$7,M23),$B$5*M23)</f>
        <v/>
      </c>
      <c r="T23" s="46">
        <f>MAX(MIN($B$7,N23),$B$5*N23)</f>
        <v/>
      </c>
      <c r="U23" s="46">
        <f>MAX(MIN($B$7,O23),$B$5*O23)</f>
        <v/>
      </c>
      <c r="V23" s="46">
        <f>MAX(MIN($B$7,P23),$B$5*P23)</f>
        <v/>
      </c>
    </row>
    <row r="24">
      <c r="B24" s="25" t="n">
        <v>0.95</v>
      </c>
      <c r="C24" s="38">
        <f>IFERROR((R24/$B$8)^(1/$B$9)-1,-1)</f>
        <v/>
      </c>
      <c r="D24" s="38">
        <f>IFERROR((S24/$B$8)^(1/$B$9)-1,-1)</f>
        <v/>
      </c>
      <c r="E24" s="38">
        <f>IFERROR((T24/$B$8)^(1/$B$9)-1,-1)</f>
        <v/>
      </c>
      <c r="F24" s="38">
        <f>IFERROR((U24/$B$8)^(1/$B$9)-1,-1)</f>
        <v/>
      </c>
      <c r="G24" s="38">
        <f>IFERROR((V24/$B$8)^(1/$B$9)-1,-1)</f>
        <v/>
      </c>
      <c r="H24" s="38">
        <f>$B24*$B$4</f>
        <v/>
      </c>
      <c r="I24" s="51">
        <f>IFERROR('Assumptions'!$C$10/H24,0)</f>
        <v/>
      </c>
      <c r="J24" s="52">
        <f>'Assumptions'!$C$21*('Assumptions'!$C$10+(I24-'Assumptions'!$C$10)*'Assumptions'!$C$22)</f>
        <v/>
      </c>
      <c r="L24" s="46">
        <f>MAX(0,$B$6*($B$10*C$17-$B$11)*$H24*$B$12+MAX(0,C$18-$J24)*$B$13-$B$14)</f>
        <v/>
      </c>
      <c r="M24" s="46">
        <f>MAX(0,$B$6*($B$10*D$17-$B$11)*$H24*$B$12+MAX(0,D$18-$J24)*$B$13-$B$14)</f>
        <v/>
      </c>
      <c r="N24" s="46">
        <f>MAX(0,$B$6*($B$10*E$17-$B$11)*$H24*$B$12+MAX(0,E$18-$J24)*$B$13-$B$14)</f>
        <v/>
      </c>
      <c r="O24" s="46">
        <f>MAX(0,$B$6*($B$10*F$17-$B$11)*$H24*$B$12+MAX(0,F$18-$J24)*$B$13-$B$14)</f>
        <v/>
      </c>
      <c r="P24" s="46">
        <f>MAX(0,$B$6*($B$10*G$17-$B$11)*$H24*$B$12+MAX(0,G$18-$J24)*$B$13-$B$14)</f>
        <v/>
      </c>
      <c r="R24" s="46">
        <f>MAX(MIN($B$7,L24),$B$5*L24)</f>
        <v/>
      </c>
      <c r="S24" s="46">
        <f>MAX(MIN($B$7,M24),$B$5*M24)</f>
        <v/>
      </c>
      <c r="T24" s="46">
        <f>MAX(MIN($B$7,N24),$B$5*N24)</f>
        <v/>
      </c>
      <c r="U24" s="46">
        <f>MAX(MIN($B$7,O24),$B$5*O24)</f>
        <v/>
      </c>
      <c r="V24" s="46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2"/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40">
        <f>IF(AND(MIN('Assumptions'!$C$26:$C$28)&gt;=0,MAX('Assumptions'!$C$26:$C$28)&lt;=1),"OK","ERROR")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40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40">
        <f>IF(MIN('Assumptions'!$D$40:$D$45)&gt;0,"OK","ERROR")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40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40">
        <f>IF('Assumptions'!$C$21&gt;0,"OK","ERROR")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40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40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40">
        <f>IF(ABS('Returns'!$B$6-('Assumptions'!$C$13+'Assumptions'!$C$14))&lt;0.0001,"OK","ERROR")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40">
        <f>IF(ABS('Returns'!$B$7-'Assumptions'!$C$14/'Returns'!$B$6)&lt;0.0001,"OK","ERROR")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40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40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40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40">
        <f>IF(AND(G16&gt;=E16-0.0001,G16&lt;=F16+0.0001),"OK","ERROR")</f>
        <v/>
      </c>
      <c r="C16" s="10" t="inlineStr">
        <is>
          <t>Weighting sanity (helpers E:G)</t>
        </is>
      </c>
      <c r="E16" s="64">
        <f>MIN('Returns'!$B$30:$D$30)</f>
        <v/>
      </c>
      <c r="F16" s="64">
        <f>MAX('Returns'!$B$30:$D$30)</f>
        <v/>
      </c>
      <c r="G16" s="33">
        <f>'Returns'!$E$37</f>
        <v/>
      </c>
    </row>
    <row r="17">
      <c r="A17" s="15" t="inlineStr">
        <is>
          <t>Our proceeds non-negative (all scenarios)</t>
        </is>
      </c>
      <c r="B17" s="40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40">
        <f>IF(SUM(E18:G18)=0,"OK","ERROR")</f>
        <v/>
      </c>
      <c r="C18" s="10" t="inlineStr">
        <is>
          <t>#REF!/#DIV0! scan</t>
        </is>
      </c>
      <c r="E18" s="40">
        <f>SUMPRODUCT(--ISERROR('Calc_Project_rNPV'!$M$4:$M$10))</f>
        <v/>
      </c>
      <c r="F18" s="40">
        <f>SUMPRODUCT(--ISERROR('Returns'!$B$30:$D$30))</f>
        <v/>
      </c>
      <c r="G18" s="40">
        <f>SUMPRODUCT(--ISERROR('Sensitivity'!$C$20:$G$24))</f>
        <v/>
      </c>
    </row>
    <row r="19">
      <c r="A19" s="15" t="inlineStr">
        <is>
          <t>Cap table ties (ownership sums to 100%)</t>
        </is>
      </c>
      <c r="B19" s="40">
        <f>IF(AND(ABS('Returns'!$B$53-1)&lt;0.001,ABS('Returns'!$C$53-1)&lt;0.001),"OK","ERROR")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40">
        <f>IF(ABS('Returns'!$C$59-'Returns'!$C$56)&lt;0.001,"OK","ERROR")</f>
        <v/>
      </c>
      <c r="C20" s="10" t="inlineStr">
        <is>
          <t>VC waterfall integrity</t>
        </is>
      </c>
    </row>
    <row r="21">
      <c r="A21" s="15" t="inlineStr">
        <is>
          <t>No double-count (exit value ≤ realised + forward pipeline)</t>
        </is>
      </c>
      <c r="B21" s="40">
        <f>IF('Returns'!$C$23&lt;='Returns'!$C$21+'Returns'!$C$22+0.000001,"OK","ERROR")</f>
        <v/>
      </c>
      <c r="C21" s="10" t="inlineStr">
        <is>
          <t>Retained-cash-only guard</t>
        </is>
      </c>
    </row>
    <row r="22">
      <c r="A22" s="15" t="inlineStr">
        <is>
          <t>Provenance: unverified inputs flagged, not silently independent</t>
        </is>
      </c>
      <c r="B22" s="40">
        <f>IF(OR(AND('Assumptions'!$C$57=1,'Assumptions'!$C$58=1),'Assumptions'!$C$59=1),"OK","ERROR")</f>
        <v/>
      </c>
      <c r="C22" s="10" t="inlineStr">
        <is>
          <t>Contamination guard (see advisory below)</t>
        </is>
      </c>
    </row>
    <row r="23"/>
    <row r="24">
      <c r="A24" s="3" t="inlineStr">
        <is>
          <t>MASTER CHECK</t>
        </is>
      </c>
      <c r="B24" s="65">
        <f>IF(COUNTIF(B4:B22,"ERROR")=0,"OK","ERROR")</f>
        <v/>
      </c>
    </row>
    <row r="25"/>
    <row r="26">
      <c r="A26" s="66" t="inlineStr">
        <is>
          <t>PROVENANCE STATUS (advisory — not in master)</t>
        </is>
      </c>
      <c r="B26" s="67">
        <f>IF(AND('Assumptions'!$C$57=1,'Assumptions'!$C$58=1),"Verified","UNVERIFIED — verify inputs")</f>
        <v/>
      </c>
    </row>
    <row r="27">
      <c r="A27" s="14" t="inlineStr">
        <is>
      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      </is>
      </c>
    </row>
  </sheetData>
  <mergeCells count="1">
    <mergeCell ref="A27:G27"/>
  </mergeCells>
  <conditionalFormatting sqref="B4:B24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8">
        <f>'Checks'!$B$24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6">
        <f>'Returns'!$E$37</f>
        <v/>
      </c>
      <c r="D7" s="15" t="inlineStr">
        <is>
          <t>Post-money valuation $m</t>
        </is>
      </c>
      <c r="E7" s="53">
        <f>'Returns'!$B$6</f>
        <v/>
      </c>
    </row>
    <row r="8">
      <c r="A8" s="15" t="inlineStr">
        <is>
          <t>Expected MOIC</t>
        </is>
      </c>
      <c r="B8" s="69">
        <f>'Returns'!$E$36</f>
        <v/>
      </c>
      <c r="D8" s="15" t="inlineStr">
        <is>
          <t>Ownership at entry</t>
        </is>
      </c>
      <c r="E8" s="37">
        <f>'Returns'!$B$7</f>
        <v/>
      </c>
    </row>
    <row r="9">
      <c r="D9" s="15" t="inlineStr">
        <is>
          <t>Ownership at exit (diluted)</t>
        </is>
      </c>
      <c r="E9" s="37">
        <f>'Returns'!$B$8</f>
        <v/>
      </c>
    </row>
    <row r="10">
      <c r="D10" s="15" t="inlineStr">
        <is>
          <t>Liquidation preference (x)</t>
        </is>
      </c>
      <c r="E10" s="69">
        <f>'Assumptions'!$C$17</f>
        <v/>
      </c>
    </row>
    <row r="11">
      <c r="D11" s="15" t="inlineStr">
        <is>
          <t>Exit year</t>
        </is>
      </c>
      <c r="E11" s="42">
        <f>'Assumptions'!$C$18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70" t="inlineStr">
        <is>
          <t>Programme capital $m</t>
        </is>
      </c>
      <c r="E14" s="53">
        <f>'Assumptions'!$C$9</f>
        <v/>
      </c>
    </row>
    <row r="15">
      <c r="A15" s="15" t="inlineStr">
        <is>
          <t>Conservative</t>
        </is>
      </c>
      <c r="B15" s="38">
        <f>'Scenarios'!$B$5*'Assumptions'!$C$27*'Assumptions'!$C$28</f>
        <v/>
      </c>
      <c r="C15" s="37">
        <f>'Returns'!$B$30</f>
        <v/>
      </c>
      <c r="D15" s="71" t="inlineStr">
        <is>
          <t>Projects target</t>
        </is>
      </c>
      <c r="E15" s="42">
        <f>'Assumptions'!$C$10</f>
        <v/>
      </c>
    </row>
    <row r="16">
      <c r="A16" s="15" t="inlineStr">
        <is>
          <t>Base</t>
        </is>
      </c>
      <c r="B16" s="38">
        <f>'Scenarios'!$C$5*'Assumptions'!$C$27*'Assumptions'!$C$28</f>
        <v/>
      </c>
      <c r="C16" s="37">
        <f>'Returns'!$C$30</f>
        <v/>
      </c>
      <c r="D16" s="71" t="inlineStr">
        <is>
          <t>Manager headline DA gate (Base)</t>
        </is>
      </c>
      <c r="E16" s="37">
        <f>'Scenarios'!$C$5</f>
        <v/>
      </c>
    </row>
    <row r="17">
      <c r="A17" s="15" t="inlineStr">
        <is>
          <t>Ideal</t>
        </is>
      </c>
      <c r="B17" s="38">
        <f>'Scenarios'!$D$5*'Assumptions'!$C$27*'Assumptions'!$C$28</f>
        <v/>
      </c>
      <c r="C17" s="37">
        <f>'Returns'!$D$30</f>
        <v/>
      </c>
      <c r="D17" s="71" t="inlineStr">
        <is>
          <t>True flip success (Base, DAxconnxsale)</t>
        </is>
      </c>
      <c r="E17" s="37">
        <f>'Calc_Survival'!$C$13</f>
        <v/>
      </c>
    </row>
    <row r="18">
      <c r="D18" s="15" t="inlineStr">
        <is>
          <t>Independent flip success (benchmark)</t>
        </is>
      </c>
      <c r="E18" s="37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RTB-stage connection AGREEMENT + GPS (registration / ready-for-construction; NOT energisation) [[TO CONFIRM]]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34" customWidth="1" min="4" max="4"/>
    <col width="18" customWidth="1" min="5" max="5"/>
    <col width="30" customWidth="1" min="6" max="6"/>
    <col width="30" customWidth="1" min="7" max="7"/>
    <col width="12" customWidth="1" min="8" max="8"/>
    <col width="22" customWidth="1" min="9" max="9"/>
  </cols>
  <sheetData>
    <row r="1">
      <c r="A1" s="1" t="inlineStr">
        <is>
          <t>Raw_Inputs — Power Query feed from INPUTS_AND_ASSUMPTIONS.xlsx ('Inputs' sheet)</t>
        </is>
      </c>
      <c r="J1" s="2" t="inlineStr">
        <is>
          <t>↩ Contents</t>
        </is>
      </c>
    </row>
    <row r="2">
      <c r="A2" s="14" t="inlineStr">
        <is>
          <t>GENERATED stub — do NOT hand-edit. Wire the live, refreshable Power Query below, then Data -&gt; Refresh. The source workbook sits in the SAME folder as this model (relative path).</t>
        </is>
      </c>
    </row>
    <row r="3">
      <c r="A3" s="14" t="inlineStr">
        <is>
          <t>Step 1 — Formulas &gt; Define Name 'WorkbookPath'  = LEFT(CELL("filename",$A$1),FIND("[",CELL("filename",$A$1))-1)</t>
        </is>
      </c>
    </row>
    <row r="4">
      <c r="A4" s="15" t="inlineStr">
        <is>
          <t>Step 2 — Data &gt; Get Data &gt; Blank Query &gt; Advanced Editor, paste:</t>
        </is>
      </c>
    </row>
    <row r="5">
      <c r="A5" s="14" t="inlineStr">
        <is>
          <t>let
    Path = Excel.CurrentWorkbook(){[Name="WorkbookPath"]}[Content]{0}[Column1],
    Source = Excel.Workbook(File.Contents(Path &amp; "INPUTS_AND_ASSUMPTIONS.xlsx"), null, true),
    Data = Source{[Item="Inputs",Kind="Sheet"]}[Data]
in
    Data</t>
        </is>
      </c>
    </row>
    <row r="6"/>
    <row r="7"/>
    <row r="8"/>
    <row r="9"/>
    <row r="10"/>
    <row r="12">
      <c r="A12" s="6" t="inlineStr">
        <is>
          <t>Static snapshot (replaced when the live query refreshes):</t>
        </is>
      </c>
    </row>
    <row r="13">
      <c r="A13" s="15" t="inlineStr">
        <is>
          <t>Inputs — SOURCED data (from data/raw/). GENERATED — do not hand-edit.</t>
        </is>
      </c>
    </row>
    <row r="15">
      <c r="A15" s="15" t="inlineStr">
        <is>
          <t>Item</t>
        </is>
      </c>
      <c r="B15" s="15" t="inlineStr">
        <is>
          <t>Value</t>
        </is>
      </c>
      <c r="C15" s="15" t="inlineStr">
        <is>
          <t>Unit</t>
        </is>
      </c>
      <c r="D15" s="15" t="inlineStr">
        <is>
          <t>Source name</t>
        </is>
      </c>
      <c r="E15" s="15" t="inlineStr">
        <is>
          <t>source_key</t>
        </is>
      </c>
      <c r="F15" s="15" t="inlineStr">
        <is>
          <t>Raw file (data/raw/…)</t>
        </is>
      </c>
      <c r="G15" s="15" t="inlineStr">
        <is>
          <t>Page/Table or URL</t>
        </is>
      </c>
      <c r="H15" s="15" t="inlineStr">
        <is>
          <t>Date</t>
        </is>
      </c>
      <c r="I15" s="15" t="inlineStr">
        <is>
          <t>Provenance</t>
        </is>
      </c>
    </row>
    <row r="16">
      <c r="A16" s="15" t="inlineStr">
        <is>
          <t>RBA — Capital Market Yields (F2)</t>
        </is>
      </c>
    </row>
    <row r="17">
      <c r="A17" s="15" t="inlineStr">
        <is>
          <t>10-year CGS yield</t>
        </is>
      </c>
      <c r="B17" s="15" t="n">
        <v>4.776</v>
      </c>
      <c r="C17" s="15" t="inlineStr">
        <is>
          <t>%</t>
        </is>
      </c>
      <c r="D17" s="15" t="inlineStr">
        <is>
          <t>RBA — Cash Rate Target &amp; Capital Market Yields</t>
        </is>
      </c>
      <c r="E17" s="15" t="inlineStr">
        <is>
          <t>rba</t>
        </is>
      </c>
      <c r="F17" s="15" t="inlineStr">
        <is>
          <t>data/raw/rba-cgs-10yr-2026-06.csv</t>
        </is>
      </c>
      <c r="G17" s="15" t="inlineStr">
        <is>
          <t>col 'Australian Government 10 year bond', row 17-Jun-2026</t>
        </is>
      </c>
      <c r="H17" s="15" t="inlineStr">
        <is>
          <t>2026-06-17</t>
        </is>
      </c>
      <c r="I17" s="15" t="inlineStr">
        <is>
          <t>Independent (verified)</t>
        </is>
      </c>
    </row>
    <row r="18">
      <c r="A18" s="15" t="inlineStr">
        <is>
          <t>CSIRO — GenCost 2025-26</t>
        </is>
      </c>
    </row>
    <row r="19">
      <c r="A19" s="15" t="inlineStr">
        <is>
          <t>2-hour battery build cost (cell)</t>
        </is>
      </c>
      <c r="B19" s="15" t="n">
        <v>525</v>
      </c>
      <c r="C19" s="15" t="inlineStr">
        <is>
          <t>$/kWh</t>
        </is>
      </c>
      <c r="D19" s="15" t="inlineStr">
        <is>
          <t>CSIRO — GenCost (annual, with AEMO)</t>
        </is>
      </c>
      <c r="E19" s="15" t="inlineStr">
        <is>
          <t>csiro_gencost</t>
        </is>
      </c>
      <c r="F19" s="15" t="inlineStr">
        <is>
          <t>data/raw/csiro-gencost-2025-26.pdf</t>
        </is>
      </c>
      <c r="G19" s="15" t="inlineStr">
        <is>
          <t>current capital-cost tables, 2-hr battery [[TO CONFIRM: page]]</t>
        </is>
      </c>
      <c r="H19" s="15" t="inlineStr">
        <is>
          <t>2025-12</t>
        </is>
      </c>
      <c r="I19" s="15" t="inlineStr">
        <is>
          <t>Independent (verified)</t>
        </is>
      </c>
    </row>
    <row r="20">
      <c r="A20" s="15" t="inlineStr">
        <is>
          <t>AEMO — 2026 Integrated System Plan</t>
        </is>
      </c>
    </row>
    <row r="21">
      <c r="A21" s="15" t="inlineStr">
        <is>
          <t>Small-scale storage power (2030)</t>
        </is>
      </c>
      <c r="B21" s="15" t="n">
        <v>12</v>
      </c>
      <c r="C21" s="15" t="inlineStr">
        <is>
          <t>GW</t>
        </is>
      </c>
      <c r="D21" s="15" t="inlineStr">
        <is>
          <t>AEMO — Integrated System Plan 2026 (storage trajectory)</t>
        </is>
      </c>
      <c r="E21" s="15" t="inlineStr">
        <is>
          <t>aemo_isp</t>
        </is>
      </c>
      <c r="F21" s="15" t="inlineStr">
        <is>
          <t>data/raw/aemo-2026-isp.pdf</t>
        </is>
      </c>
      <c r="G21" s="15" t="inlineStr">
        <is>
          <t>Storage capacity, Step Change [[TO CONFIRM: page]]</t>
        </is>
      </c>
      <c r="H21" s="15" t="inlineStr">
        <is>
          <t>2026</t>
        </is>
      </c>
      <c r="I21" s="15" t="inlineStr">
        <is>
          <t>Independent (verified)</t>
        </is>
      </c>
    </row>
    <row r="22">
      <c r="A22" s="15" t="inlineStr">
        <is>
          <t>Small-scale storage energy (2030)</t>
        </is>
      </c>
      <c r="B22" s="15" t="n">
        <v>33</v>
      </c>
      <c r="C22" s="15" t="inlineStr">
        <is>
          <t>GWh</t>
        </is>
      </c>
      <c r="D22" s="15" t="inlineStr">
        <is>
          <t>AEMO — Integrated System Plan 2026 (storage trajectory)</t>
        </is>
      </c>
      <c r="E22" s="15" t="inlineStr">
        <is>
          <t>aemo_isp</t>
        </is>
      </c>
      <c r="F22" s="15" t="inlineStr">
        <is>
          <t>data/raw/aemo-2026-isp.pdf</t>
        </is>
      </c>
      <c r="G22" s="15" t="inlineStr">
        <is>
          <t>Storage capacity, Step Change [[TO CONFIRM: page]]</t>
        </is>
      </c>
      <c r="H22" s="15" t="inlineStr">
        <is>
          <t>2026</t>
        </is>
      </c>
      <c r="I22" s="15" t="inlineStr">
        <is>
          <t>Independent (verified)</t>
        </is>
      </c>
    </row>
    <row r="23">
      <c r="A23" s="15" t="inlineStr">
        <is>
          <t>Grid-scale storage need (2050)</t>
        </is>
      </c>
      <c r="B23" s="15" t="n">
        <v>40</v>
      </c>
      <c r="C23" s="15" t="inlineStr">
        <is>
          <t>GW</t>
        </is>
      </c>
      <c r="D23" s="15" t="inlineStr">
        <is>
          <t>AEMO — Integrated System Plan 2026 (storage trajectory)</t>
        </is>
      </c>
      <c r="E23" s="15" t="inlineStr">
        <is>
          <t>aemo_isp</t>
        </is>
      </c>
      <c r="F23" s="15" t="inlineStr">
        <is>
          <t>data/raw/aemo-2026-isp.pdf</t>
        </is>
      </c>
      <c r="G23" s="15" t="inlineStr">
        <is>
          <t>Storage capacity, Step Change (35 + 5) [[TO CONFIRM: page]]</t>
        </is>
      </c>
      <c r="H23" s="15" t="inlineStr">
        <is>
          <t>2026</t>
        </is>
      </c>
      <c r="I23" s="15" t="inlineStr">
        <is>
          <t>Independent (verified)</t>
        </is>
      </c>
    </row>
    <row r="24">
      <c r="A24" s="15" t="inlineStr">
        <is>
          <t>Grid-scale storage in connections</t>
        </is>
      </c>
      <c r="B24" s="15" t="n">
        <v>45</v>
      </c>
      <c r="C24" s="15" t="inlineStr">
        <is>
          <t>GW</t>
        </is>
      </c>
      <c r="D24" s="15" t="inlineStr">
        <is>
          <t>AEMO — Integrated System Plan 2026 (storage trajectory)</t>
        </is>
      </c>
      <c r="E24" s="15" t="inlineStr">
        <is>
          <t>aemo_isp</t>
        </is>
      </c>
      <c r="F24" s="15" t="inlineStr">
        <is>
          <t>data/raw/aemo-2026-isp.pdf</t>
        </is>
      </c>
      <c r="G24" s="15" t="inlineStr">
        <is>
          <t>Connections / transition outlook (~45 of ~67 GW) [[TO CONFIRM: page]]</t>
        </is>
      </c>
      <c r="H24" s="15" t="inlineStr">
        <is>
          <t>2026</t>
        </is>
      </c>
      <c r="I24" s="15" t="inlineStr">
        <is>
          <t>Independent (verified)</t>
        </is>
      </c>
    </row>
    <row r="25">
      <c r="A25" s="15" t="inlineStr">
        <is>
          <t>AEMO — gate benchmarks (Connections / Generation Information)</t>
        </is>
      </c>
    </row>
    <row r="26">
      <c r="A26" s="15" t="inlineStr">
        <is>
          <t>Grid-connection rate (RTB rights: agreement + GPS)</t>
        </is>
      </c>
      <c r="B26" s="15" t="n">
        <v>70</v>
      </c>
      <c r="C26" s="15" t="inlineStr">
        <is>
          <t>%</t>
        </is>
      </c>
      <c r="D26" s="15" t="inlineStr">
        <is>
          <t>AEMO — Connections Scorecard / Key Connection Information (KCI)</t>
        </is>
      </c>
      <c r="E26" s="15" t="inlineStr">
        <is>
          <t>aemo_connections</t>
        </is>
      </c>
      <c r="F26" s="15" t="inlineStr">
        <is>
          <t>data/raw/ (Scorecard not pinned)</t>
        </is>
      </c>
      <c r="G26" s="15" t="inlineStr">
        <is>
          <t>registration / executed connection agreement stage; NOT energisation</t>
        </is>
      </c>
      <c r="H26" s="15" t="inlineStr">
        <is>
          <t>2026-06</t>
        </is>
      </c>
      <c r="I26" s="15" t="inlineStr">
        <is>
          <t>[[TO CONFIRM]] benchmark</t>
        </is>
      </c>
    </row>
    <row r="27">
      <c r="A27" s="15" t="inlineStr">
        <is>
          <t>Reach-sale rate (proposed-&gt;committed attrition)</t>
        </is>
      </c>
      <c r="B27" s="15" t="n">
        <v>80</v>
      </c>
      <c r="C27" s="15" t="inlineStr">
        <is>
          <t>%</t>
        </is>
      </c>
      <c r="D27" s="15" t="inlineStr">
        <is>
          <t>AEMO — NEM Generation Information</t>
        </is>
      </c>
      <c r="E27" s="15" t="inlineStr">
        <is>
          <t>aemo_generation_info</t>
        </is>
      </c>
      <c r="F27" s="15" t="inlineStr">
        <is>
          <t>data/raw/aemo_generation_information_&lt;date&gt;.xlsx</t>
        </is>
      </c>
      <c r="G27" s="15" t="inlineStr">
        <is>
          <t>proposed -&gt; committed status</t>
        </is>
      </c>
      <c r="H27" s="15" t="inlineStr">
        <is>
          <t>2026-06</t>
        </is>
      </c>
      <c r="I27" s="15" t="inlineStr">
        <is>
          <t>[[TO CONFIRM]] benchmark</t>
        </is>
      </c>
    </row>
    <row r="28">
      <c r="A28" s="15" t="inlineStr">
        <is>
          <t>NSW Planning Portal — approval benchmark</t>
        </is>
      </c>
    </row>
    <row r="29">
      <c r="A29" s="15" t="inlineStr">
        <is>
          <t>Development-approval rate (independent benchmark)</t>
        </is>
      </c>
      <c r="B29" s="15" t="n">
        <v>80</v>
      </c>
      <c r="C29" s="15" t="inlineStr">
        <is>
          <t>%</t>
        </is>
      </c>
      <c r="D29" s="15" t="inlineStr">
        <is>
          <t>NSW Planning Portal — Major Projects / Application Tracker</t>
        </is>
      </c>
      <c r="E29" s="15" t="inlineStr">
        <is>
          <t>nsw_planning</t>
        </is>
      </c>
      <c r="F29" s="15" t="inlineStr">
        <is>
          <t>data/raw/nsw_planning_&lt;date&gt;.json</t>
        </is>
      </c>
      <c r="G29" s="15" t="inlineStr">
        <is>
          <t>approved vs refused/withdrawn BESS major projects</t>
        </is>
      </c>
      <c r="H29" s="15" t="inlineStr">
        <is>
          <t>2026-06</t>
        </is>
      </c>
      <c r="I29" s="15" t="inlineStr">
        <is>
          <t>[[TO CONFIRM]] benchmark</t>
        </is>
      </c>
    </row>
    <row r="30">
      <c r="A30" s="15" t="inlineStr">
        <is>
          <t>Trade press — RTB $/MW comps (manager claim to verify)</t>
        </is>
      </c>
    </row>
    <row r="31">
      <c r="A31" s="15" t="inlineStr">
        <is>
          <t>RTB sale price — NSW</t>
        </is>
      </c>
      <c r="B31" s="15" t="n">
        <v>0.2</v>
      </c>
      <c r="C31" s="15" t="inlineStr">
        <is>
          <t>$m/MW</t>
        </is>
      </c>
      <c r="D31" s="15" t="inlineStr">
        <is>
          <t>Energy trade press — RTB / development-rights deal comps</t>
        </is>
      </c>
      <c r="E31" s="15" t="inlineStr">
        <is>
          <t>trade_press_comps</t>
        </is>
      </c>
      <c r="F31" s="15" t="inlineStr">
        <is>
          <t>data/raw/trade_press_candidates_20260624.csv</t>
        </is>
      </c>
      <c r="G31" s="15" t="inlineStr">
        <is>
          <t>trade-press deal comps (independent comps needed)</t>
        </is>
      </c>
      <c r="H31" s="15" t="inlineStr">
        <is>
          <t>2026-06</t>
        </is>
      </c>
      <c r="I31" s="15" t="inlineStr">
        <is>
          <t>Proposed (manager)</t>
        </is>
      </c>
    </row>
    <row r="32">
      <c r="A32" s="15" t="inlineStr">
        <is>
          <t>RTB sale price — VIC</t>
        </is>
      </c>
      <c r="B32" s="15" t="n">
        <v>0.18</v>
      </c>
      <c r="C32" s="15" t="inlineStr">
        <is>
          <t>$m/MW</t>
        </is>
      </c>
      <c r="D32" s="15" t="inlineStr">
        <is>
          <t>Energy trade press — RTB / development-rights deal comps</t>
        </is>
      </c>
      <c r="E32" s="15" t="inlineStr">
        <is>
          <t>trade_press_comps</t>
        </is>
      </c>
      <c r="F32" s="15" t="inlineStr">
        <is>
          <t>data/raw/trade_press_candidates_20260624.csv</t>
        </is>
      </c>
      <c r="G32" s="15" t="inlineStr">
        <is>
          <t>trade-press deal comps (independent comps needed)</t>
        </is>
      </c>
      <c r="H32" s="15" t="inlineStr">
        <is>
          <t>2026-06</t>
        </is>
      </c>
      <c r="I32" s="15" t="inlineStr">
        <is>
          <t>Proposed (manager)</t>
        </is>
      </c>
    </row>
    <row r="33">
      <c r="A33" s="15" t="inlineStr">
        <is>
          <t>RTB sale price — SA</t>
        </is>
      </c>
      <c r="B33" s="15" t="n">
        <v>0.12</v>
      </c>
      <c r="C33" s="15" t="inlineStr">
        <is>
          <t>$m/MW</t>
        </is>
      </c>
      <c r="D33" s="15" t="inlineStr">
        <is>
          <t>Energy trade press — RTB / development-rights deal comps</t>
        </is>
      </c>
      <c r="E33" s="15" t="inlineStr">
        <is>
          <t>trade_press_comps</t>
        </is>
      </c>
      <c r="F33" s="15" t="inlineStr">
        <is>
          <t>data/raw/trade_press_candidates_20260624.csv</t>
        </is>
      </c>
      <c r="G33" s="15" t="inlineStr">
        <is>
          <t>trade-press deal comps (independent comps needed)</t>
        </is>
      </c>
      <c r="H33" s="15" t="inlineStr">
        <is>
          <t>2026-06</t>
        </is>
      </c>
      <c r="I33" s="15" t="inlineStr">
        <is>
          <t>Proposed (manager)</t>
        </is>
      </c>
    </row>
    <row r="34">
      <c r="A34" s="15" t="inlineStr">
        <is>
          <t>All-in built-asset value (context; above GenCost cell cost)</t>
        </is>
      </c>
      <c r="B34" s="15" t="n">
        <v>1.8</v>
      </c>
      <c r="C34" s="15" t="inlineStr">
        <is>
          <t>$m/MW</t>
        </is>
      </c>
      <c r="D34" s="15" t="inlineStr">
        <is>
          <t>CSIRO — GenCost (annual, with AEMO)</t>
        </is>
      </c>
      <c r="E34" s="15" t="inlineStr">
        <is>
          <t>csiro_gencost</t>
        </is>
      </c>
      <c r="F34" s="15" t="inlineStr">
        <is>
          <t>data/raw/csiro-gencost-2025-26.pdf</t>
        </is>
      </c>
      <c r="G34" s="15" t="inlineStr">
        <is>
          <t>all-in value ABOVE the ~$1.1m/MW cell cost — no primary</t>
        </is>
      </c>
      <c r="H34" s="15" t="inlineStr">
        <is>
          <t>2026-06</t>
        </is>
      </c>
      <c r="I34" s="15" t="inlineStr">
        <is>
          <t>Placeholder [[TO CONFIRM]]</t>
        </is>
      </c>
    </row>
  </sheetData>
  <mergeCells count="1">
    <mergeCell ref="A5:I10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34" customWidth="1" min="4" max="4"/>
    <col width="18" customWidth="1" min="5" max="5"/>
    <col width="30" customWidth="1" min="6" max="6"/>
    <col width="30" customWidth="1" min="7" max="7"/>
    <col width="12" customWidth="1" min="8" max="8"/>
    <col width="22" customWidth="1" min="9" max="9"/>
  </cols>
  <sheetData>
    <row r="1">
      <c r="A1" s="1" t="inlineStr">
        <is>
          <t>Raw_Assumptions — Power Query feed from INPUTS_AND_ASSUMPTIONS.xlsx ('Assumptions' sheet)</t>
        </is>
      </c>
      <c r="J1" s="2" t="inlineStr">
        <is>
          <t>↩ Contents</t>
        </is>
      </c>
    </row>
    <row r="2">
      <c r="A2" s="14" t="inlineStr">
        <is>
          <t>GENERATED stub — do NOT hand-edit. Wire the live, refreshable Power Query below, then Data -&gt; Refresh. The source workbook sits in the SAME folder as this model (relative path).</t>
        </is>
      </c>
    </row>
    <row r="3">
      <c r="A3" s="14" t="inlineStr">
        <is>
          <t>Step 1 — Formulas &gt; Define Name 'WorkbookPath'  = LEFT(CELL("filename",$A$1),FIND("[",CELL("filename",$A$1))-1)</t>
        </is>
      </c>
    </row>
    <row r="4">
      <c r="A4" s="15" t="inlineStr">
        <is>
          <t>Step 2 — Data &gt; Get Data &gt; Blank Query &gt; Advanced Editor, paste:</t>
        </is>
      </c>
    </row>
    <row r="5">
      <c r="A5" s="14" t="inlineStr">
        <is>
          <t>let
    Path = Excel.CurrentWorkbook(){[Name="WorkbookPath"]}[Content]{0}[Column1],
    Source = Excel.Workbook(File.Contents(Path &amp; "INPUTS_AND_ASSUMPTIONS.xlsx"), null, true),
    Data = Source{[Item="Assumptions",Kind="Sheet"]}[Data]
in
    Data</t>
        </is>
      </c>
    </row>
    <row r="6"/>
    <row r="7"/>
    <row r="8"/>
    <row r="9"/>
    <row r="10"/>
    <row r="12">
      <c r="A12" s="6" t="inlineStr">
        <is>
          <t>Static snapshot (replaced when the live query refreshes):</t>
        </is>
      </c>
    </row>
    <row r="13">
      <c r="A13" s="15" t="inlineStr">
        <is>
          <t>Assumptions — JUDGEMENT (from config/assumptions.yaml). GENERATED — do not hand-edit.</t>
        </is>
      </c>
    </row>
    <row r="15">
      <c r="A15" s="15" t="inlineStr">
        <is>
          <t>Item</t>
        </is>
      </c>
      <c r="B15" s="15" t="inlineStr">
        <is>
          <t>Value</t>
        </is>
      </c>
      <c r="C15" s="15" t="inlineStr">
        <is>
          <t>Unit</t>
        </is>
      </c>
      <c r="D15" s="15" t="inlineStr">
        <is>
          <t>How it's derived / rationale</t>
        </is>
      </c>
      <c r="E15" s="15" t="inlineStr">
        <is>
          <t>source_key</t>
        </is>
      </c>
      <c r="F15" s="15" t="inlineStr">
        <is>
          <t>[[TO CONFIRM]]</t>
        </is>
      </c>
      <c r="G15" s="15" t="inlineStr">
        <is>
          <t>as_at</t>
        </is>
      </c>
    </row>
    <row r="16">
      <c r="A16" s="15" t="inlineStr">
        <is>
          <t>Discount / required return</t>
        </is>
      </c>
    </row>
    <row r="17">
      <c r="A17" s="15" t="inlineStr">
        <is>
          <t>discount_rate.risk_premium</t>
        </is>
      </c>
      <c r="B17" s="15" t="n">
        <v>0.14</v>
      </c>
      <c r="D17" s="15" t="inlineStr">
        <is>
          <t>Analyst judgement — development-stage equity risk premium (illustrative); all-in base ~18%</t>
        </is>
      </c>
      <c r="E17" s="15" t="inlineStr">
        <is>
          <t>none / judgement</t>
        </is>
      </c>
      <c r="G17" s="15" t="inlineStr">
        <is>
          <t>2026-06-26</t>
        </is>
      </c>
    </row>
    <row r="18">
      <c r="A18" s="15" t="inlineStr">
        <is>
          <t>returns.vc_target_return</t>
        </is>
      </c>
      <c r="B18" s="15" t="n">
        <v>0.25</v>
      </c>
      <c r="D18" s="15" t="inlineStr">
        <is>
          <t>VC-method target return for development-stage equity (25%+); analyst judgement</t>
        </is>
      </c>
      <c r="E18" s="15" t="inlineStr">
        <is>
          <t>none / judgement</t>
        </is>
      </c>
      <c r="G18" s="15" t="inlineStr">
        <is>
          <t>2026-06-26</t>
        </is>
      </c>
    </row>
    <row r="19">
      <c r="A19" s="15" t="inlineStr">
        <is>
          <t>Company programme</t>
        </is>
      </c>
    </row>
    <row r="20">
      <c r="A20" s="15" t="inlineStr">
        <is>
          <t>company.programme_capital_m</t>
        </is>
      </c>
      <c r="B20" s="15" t="n">
        <v>25</v>
      </c>
      <c r="D20" s="15" t="inlineStr">
        <is>
          <t>Illustrative scale of the company's equity-funded development programme; verify</t>
        </is>
      </c>
      <c r="E20" s="15" t="inlineStr">
        <is>
          <t>none / judgement</t>
        </is>
      </c>
      <c r="G20" s="15" t="inlineStr">
        <is>
          <t>2026-06-26</t>
        </is>
      </c>
    </row>
    <row r="21">
      <c r="A21" s="15" t="inlineStr">
        <is>
          <t>company.projects_target</t>
        </is>
      </c>
      <c r="B21" s="15" t="n">
        <v>35</v>
      </c>
      <c r="D21" s="15" t="inlineStr">
        <is>
          <t>Company plan — deliver &amp; sell ~35 ready-to-build projects; verify</t>
        </is>
      </c>
      <c r="E21" s="15" t="inlineStr">
        <is>
          <t>none / judgement</t>
        </is>
      </c>
      <c r="G21" s="15" t="inlineStr">
        <is>
          <t>2026-06-26</t>
        </is>
      </c>
    </row>
    <row r="22">
      <c r="A22" s="15" t="inlineStr">
        <is>
          <t>company.term_years</t>
        </is>
      </c>
      <c r="B22" s="15" t="n">
        <v>3</v>
      </c>
      <c r="D22" s="15" t="inlineStr">
        <is>
          <t>Company plan — ~2+1 year develop-and-flip programme cycle; verify</t>
        </is>
      </c>
      <c r="E22" s="15" t="inlineStr">
        <is>
          <t>none / judgement</t>
        </is>
      </c>
      <c r="G22" s="15" t="inlineStr">
        <is>
          <t>2026-06-26</t>
        </is>
      </c>
    </row>
    <row r="23">
      <c r="A23" s="15" t="inlineStr">
        <is>
          <t>company.capital_call_profile</t>
        </is>
      </c>
      <c r="B23" s="15" t="inlineStr">
        <is>
          <t>0.5, 0.5, 0.0, 0.0</t>
        </is>
      </c>
      <c r="D23" s="15" t="inlineStr">
        <is>
          <t>Illustrative — development spend in yrs 0-1</t>
        </is>
      </c>
      <c r="E23" s="15" t="inlineStr">
        <is>
          <t>none / judgement</t>
        </is>
      </c>
      <c r="G23" s="15" t="inlineStr">
        <is>
          <t>2026-06-26</t>
        </is>
      </c>
    </row>
    <row r="24">
      <c r="A24" s="15" t="inlineStr">
        <is>
          <t>company.distribution_profile</t>
        </is>
      </c>
      <c r="B24" s="15" t="inlineStr">
        <is>
          <t>0.0, 0.0, 0.5, 0.5</t>
        </is>
      </c>
      <c r="D24" s="15" t="inlineStr">
        <is>
          <t>Illustrative — programme proceeds in yrs 2-3</t>
        </is>
      </c>
      <c r="E24" s="15" t="inlineStr">
        <is>
          <t>none / judgement</t>
        </is>
      </c>
      <c r="G24" s="15" t="inlineStr">
        <is>
          <t>2026-06-26</t>
        </is>
      </c>
    </row>
    <row r="25">
      <c r="A25" s="15" t="inlineStr">
        <is>
          <t>Equity deal terms</t>
        </is>
      </c>
    </row>
    <row r="26">
      <c r="A26" s="15" t="inlineStr">
        <is>
          <t>equity_deal.pre_money_m</t>
        </is>
      </c>
      <c r="B26" s="15" t="n">
        <v>8</v>
      </c>
      <c r="D26" s="15" t="inlineStr">
        <is>
          <t>[[TO CONFIRM]] PLACEHOLDER — the company's pre-money valuation (value before our money goes in)</t>
        </is>
      </c>
      <c r="E26" s="15" t="inlineStr">
        <is>
          <t>none / judgement</t>
        </is>
      </c>
      <c r="F26" s="15" t="inlineStr">
        <is>
          <t>Y</t>
        </is>
      </c>
      <c r="G26" s="15" t="inlineStr">
        <is>
          <t>2026-06-26</t>
        </is>
      </c>
    </row>
    <row r="27">
      <c r="A27" s="15" t="inlineStr">
        <is>
          <t>equity_deal.investment_amount_m</t>
        </is>
      </c>
      <c r="B27" s="15" t="n">
        <v>2</v>
      </c>
      <c r="D27" s="15" t="inlineStr">
        <is>
          <t>[[TO CONFIRM]] PLACEHOLDER — our equity cheque</t>
        </is>
      </c>
      <c r="E27" s="15" t="inlineStr">
        <is>
          <t>none / judgement</t>
        </is>
      </c>
      <c r="F27" s="15" t="inlineStr">
        <is>
          <t>Y</t>
        </is>
      </c>
      <c r="G27" s="15" t="inlineStr">
        <is>
          <t>2026-06-26</t>
        </is>
      </c>
    </row>
    <row r="28">
      <c r="A28" s="15" t="inlineStr">
        <is>
          <t>equity_deal.option_pool_pct</t>
        </is>
      </c>
      <c r="B28" s="15" t="n">
        <v>0.1</v>
      </c>
      <c r="D28" s="15" t="inlineStr">
        <is>
          <t>[[TO CONFIRM]] PLACEHOLDER — staff option pool created at our round (dilutes us)</t>
        </is>
      </c>
      <c r="E28" s="15" t="inlineStr">
        <is>
          <t>none / judgement</t>
        </is>
      </c>
      <c r="F28" s="15" t="inlineStr">
        <is>
          <t>Y</t>
        </is>
      </c>
      <c r="G28" s="15" t="inlineStr">
        <is>
          <t>2026-06-26</t>
        </is>
      </c>
    </row>
    <row r="29">
      <c r="A29" s="15" t="inlineStr">
        <is>
          <t>equity_deal.future_round_dilution_pct</t>
        </is>
      </c>
      <c r="B29" s="15" t="n">
        <v>0.2</v>
      </c>
      <c r="D29" s="15" t="inlineStr">
        <is>
          <t>[[TO CONFIRM]] PLACEHOLDER — expected dilution from future capital raises before exit</t>
        </is>
      </c>
      <c r="E29" s="15" t="inlineStr">
        <is>
          <t>none / judgement</t>
        </is>
      </c>
      <c r="F29" s="15" t="inlineStr">
        <is>
          <t>Y</t>
        </is>
      </c>
      <c r="G29" s="15" t="inlineStr">
        <is>
          <t>2026-06-26</t>
        </is>
      </c>
    </row>
    <row r="30">
      <c r="A30" s="15" t="inlineStr">
        <is>
          <t>equity_deal.liquidation_preference_x</t>
        </is>
      </c>
      <c r="B30" s="15" t="n">
        <v>1</v>
      </c>
      <c r="D30" s="15" t="inlineStr">
        <is>
          <t>PLACEHOLDER — 1x non-participating preferred (the greater of our money back or our as-converted share); confirm in the term sheet</t>
        </is>
      </c>
      <c r="E30" s="15" t="inlineStr">
        <is>
          <t>none / judgement</t>
        </is>
      </c>
      <c r="G30" s="15" t="inlineStr">
        <is>
          <t>2026-06-26</t>
        </is>
      </c>
    </row>
    <row r="31">
      <c r="A31" s="15" t="inlineStr">
        <is>
          <t>equity_deal.exit_year</t>
        </is>
      </c>
      <c r="B31" s="15" t="n">
        <v>5</v>
      </c>
      <c r="D31" s="15" t="inlineStr">
        <is>
          <t>[[TO CONFIRM]] PLACEHOLDER — years to our exit (we sell our shares)</t>
        </is>
      </c>
      <c r="E31" s="15" t="inlineStr">
        <is>
          <t>none / judgement</t>
        </is>
      </c>
      <c r="F31" s="15" t="inlineStr">
        <is>
          <t>Y</t>
        </is>
      </c>
      <c r="G31" s="15" t="inlineStr">
        <is>
          <t>2026-06-26</t>
        </is>
      </c>
    </row>
    <row r="32">
      <c r="A32" s="15" t="inlineStr">
        <is>
          <t>Exit drivers</t>
        </is>
      </c>
    </row>
    <row r="33">
      <c r="A33" s="15" t="inlineStr">
        <is>
          <t>exit_value.pipeline_depth_at_exit</t>
        </is>
      </c>
      <c r="B33" s="15" t="n">
        <v>25</v>
      </c>
      <c r="D33" s="15" t="inlineStr">
        <is>
          <t>[[TO CONFIRM]] PLACEHOLDER — number of projects still IN FLIGHT (not yet sold) when we exit; the MAIN sensitivity of the pipeline basis (see Exhibit D). The company targets ~35 delivered over its programme.</t>
        </is>
      </c>
      <c r="E33" s="15" t="inlineStr">
        <is>
          <t>none / judgement</t>
        </is>
      </c>
      <c r="F33" s="15" t="inlineStr">
        <is>
          <t>Y</t>
        </is>
      </c>
      <c r="G33" s="15" t="inlineStr">
        <is>
          <t>2026-06-26</t>
        </is>
      </c>
    </row>
    <row r="34">
      <c r="A34" s="15" t="inlineStr">
        <is>
          <t>exit_value.interim_distribution_fraction</t>
        </is>
      </c>
      <c r="B34" s="15" t="n">
        <v>0</v>
      </c>
      <c r="D34" s="15" t="inlineStr">
        <is>
          <t>[[TO CONFIRM]] PLACEHOLDER — fraction of realised net programme profit DISTRIBUTED to shareholders during the hold (convention (b), IC_MEMO §7). 0% (conservative) retains all realised profit and counts it ONCE, at face value, in the exit value — never at a multiple. Raise once the distribution policy is confirmed.</t>
        </is>
      </c>
      <c r="E34" s="15" t="inlineStr">
        <is>
          <t>none / judgement</t>
        </is>
      </c>
      <c r="F34" s="15" t="inlineStr">
        <is>
          <t>Y</t>
        </is>
      </c>
      <c r="G34" s="15" t="inlineStr">
        <is>
          <t>2026-06-26</t>
        </is>
      </c>
    </row>
    <row r="35">
      <c r="A35" s="15" t="inlineStr">
        <is>
          <t>exit_value.debt_at_exit_m</t>
        </is>
      </c>
      <c r="B35" s="15" t="n">
        <v>0</v>
      </c>
      <c r="D35" s="15" t="inlineStr">
        <is>
          <t>[[TO CONFIRM]] PLACEHOLDER — company debt outstanding at exit; the company is equity-funded, so 0 by default.</t>
        </is>
      </c>
      <c r="E35" s="15" t="inlineStr">
        <is>
          <t>none / judgement</t>
        </is>
      </c>
      <c r="F35" s="15" t="inlineStr">
        <is>
          <t>Y</t>
        </is>
      </c>
      <c r="G35" s="15" t="inlineStr">
        <is>
          <t>2026-06-26</t>
        </is>
      </c>
    </row>
    <row r="36">
      <c r="A36" s="15" t="inlineStr">
        <is>
          <t>exit_value_crosscheck.earnings_multiple.low</t>
        </is>
      </c>
      <c r="B36" s="15" t="n">
        <v>3</v>
      </c>
      <c r="D36" s="15" t="inlineStr">
        <is>
          <t>low EV/earnings multiple for a development platform</t>
        </is>
      </c>
      <c r="E36" s="15" t="inlineStr">
        <is>
          <t>none / judgement</t>
        </is>
      </c>
      <c r="G36" s="15" t="inlineStr">
        <is>
          <t>2026-06-26</t>
        </is>
      </c>
    </row>
    <row r="37">
      <c r="A37" s="15" t="inlineStr">
        <is>
          <t>exit_value_crosscheck.earnings_multiple.base</t>
        </is>
      </c>
      <c r="B37" s="15" t="n">
        <v>5</v>
      </c>
      <c r="D37" s="15" t="inlineStr">
        <is>
          <t>base EV/earnings multiple for a development platform</t>
        </is>
      </c>
      <c r="E37" s="15" t="inlineStr">
        <is>
          <t>none / judgement</t>
        </is>
      </c>
      <c r="G37" s="15" t="inlineStr">
        <is>
          <t>2026-06-26</t>
        </is>
      </c>
    </row>
    <row r="38">
      <c r="A38" s="15" t="inlineStr">
        <is>
          <t>exit_value_crosscheck.earnings_multiple.high</t>
        </is>
      </c>
      <c r="B38" s="15" t="n">
        <v>7</v>
      </c>
      <c r="D38" s="15" t="inlineStr">
        <is>
          <t>high EV/earnings multiple for a development platform</t>
        </is>
      </c>
      <c r="E38" s="15" t="inlineStr">
        <is>
          <t>none / judgement</t>
        </is>
      </c>
      <c r="G38" s="15" t="inlineStr">
        <is>
          <t>2026-06-26</t>
        </is>
      </c>
    </row>
    <row r="39">
      <c r="A39" s="15" t="inlineStr">
        <is>
          <t>Development cost &amp; attrition</t>
        </is>
      </c>
    </row>
    <row r="40">
      <c r="A40" s="15" t="inlineStr">
        <is>
          <t>dev_cost.per_project_m</t>
        </is>
      </c>
      <c r="B40" s="15" t="n">
        <v>0.5</v>
      </c>
      <c r="D40" s="15" t="inlineStr">
        <is>
          <t>Manager claim ~$500k/project — verify bottom-up</t>
        </is>
      </c>
      <c r="E40" s="15" t="inlineStr">
        <is>
          <t>none / judgement</t>
        </is>
      </c>
      <c r="G40" s="15" t="inlineStr">
        <is>
          <t>2026-06-26</t>
        </is>
      </c>
    </row>
    <row r="41">
      <c r="A41" s="15" t="inlineStr">
        <is>
          <t>dev_cost.abandonment_fraction</t>
        </is>
      </c>
      <c r="B41" s="15" t="n">
        <v>0.3</v>
      </c>
      <c r="D41" s="15" t="inlineStr">
        <is>
          <t>Illustrative (conservative) — partial spend before a failed project is abandoned</t>
        </is>
      </c>
      <c r="E41" s="15" t="inlineStr">
        <is>
          <t>none / judgement</t>
        </is>
      </c>
      <c r="G41" s="15" t="inlineStr">
        <is>
          <t>2026-06-26</t>
        </is>
      </c>
    </row>
    <row r="42">
      <c r="A42" s="15" t="inlineStr">
        <is>
          <t>Gates / scenarios (manager DA claim)</t>
        </is>
      </c>
    </row>
    <row r="43">
      <c r="A43" s="15" t="inlineStr">
        <is>
          <t>scenarios</t>
        </is>
      </c>
      <c r="E43" s="15" t="inlineStr">
        <is>
          <t>none / judgement</t>
        </is>
      </c>
    </row>
    <row r="44">
      <c r="A44" s="15" t="inlineStr">
        <is>
          <t>Pipeline</t>
        </is>
      </c>
    </row>
    <row r="45">
      <c r="A45" s="15" t="inlineStr">
        <is>
          <t>pipeline</t>
        </is>
      </c>
      <c r="D45" s="15" t="inlineStr">
        <is>
          <t>Illustrative representative pipeline; sizes/locations synthetic (not a real portfolio).</t>
        </is>
      </c>
      <c r="E45" s="15" t="inlineStr">
        <is>
          <t>none / judgement</t>
        </is>
      </c>
    </row>
    <row r="46">
      <c r="A46" s="15" t="inlineStr">
        <is>
          <t>Value ladder</t>
        </is>
      </c>
    </row>
    <row r="47">
      <c r="A47" s="15" t="inlineStr">
        <is>
          <t>value_ladder.years_to_r1</t>
        </is>
      </c>
      <c r="B47" s="15" t="n">
        <v>2.5</v>
      </c>
      <c r="D47" s="15" t="inlineStr">
        <is>
          <t>[[TO CONFIRM]] years to RTB sale</t>
        </is>
      </c>
      <c r="E47" s="15" t="inlineStr">
        <is>
          <t>none / judgement</t>
        </is>
      </c>
      <c r="F47" s="15" t="inlineStr">
        <is>
          <t>Y</t>
        </is>
      </c>
      <c r="G47" s="15" t="inlineStr">
        <is>
          <t>2026-06-29</t>
        </is>
      </c>
    </row>
    <row r="48">
      <c r="A48" s="15" t="inlineStr">
        <is>
          <t>value_ladder.operating_ramp_years</t>
        </is>
      </c>
      <c r="B48" s="15" t="n">
        <v>3</v>
      </c>
      <c r="D48" s="15" t="inlineStr">
        <is>
          <t>[[TO CONFIRM]] operating ramp before R3 sale</t>
        </is>
      </c>
      <c r="E48" s="15" t="inlineStr">
        <is>
          <t>none / judgement</t>
        </is>
      </c>
      <c r="F48" s="15" t="inlineStr">
        <is>
          <t>Y</t>
        </is>
      </c>
      <c r="G48" s="15" t="inlineStr">
        <is>
          <t>2026-06-29</t>
        </is>
      </c>
    </row>
    <row r="49">
      <c r="A49" s="15" t="inlineStr">
        <is>
          <t>value_ladder.stabilised_premium</t>
        </is>
      </c>
      <c r="B49" s="15" t="n">
        <v>0.1</v>
      </c>
      <c r="D49" s="15" t="inlineStr">
        <is>
          <t>[[TO CONFIRM]] stabilised-asset premium</t>
        </is>
      </c>
      <c r="E49" s="15" t="inlineStr">
        <is>
          <t>none / judgement</t>
        </is>
      </c>
      <c r="F49" s="15" t="inlineStr">
        <is>
          <t>Y</t>
        </is>
      </c>
      <c r="G49" s="15" t="inlineStr">
        <is>
          <t>2026-06-29</t>
        </is>
      </c>
    </row>
    <row r="50">
      <c r="A50" s="15" t="inlineStr">
        <is>
          <t>value_ladder.equity_dilution_r2</t>
        </is>
      </c>
      <c r="B50" s="15" t="n">
        <v>0.7</v>
      </c>
      <c r="D50" s="15" t="inlineStr">
        <is>
          <t>[[TO CONFIRM]] equity raised to build dilutes us</t>
        </is>
      </c>
      <c r="E50" s="15" t="inlineStr">
        <is>
          <t>none / judgement</t>
        </is>
      </c>
      <c r="F50" s="15" t="inlineStr">
        <is>
          <t>Y</t>
        </is>
      </c>
      <c r="G50" s="15" t="inlineStr">
        <is>
          <t>2026-06-29</t>
        </is>
      </c>
    </row>
    <row r="51">
      <c r="A51" s="15" t="inlineStr">
        <is>
          <t>value_ladder.equity_dilution_r3</t>
        </is>
      </c>
      <c r="B51" s="15" t="n">
        <v>0.5</v>
      </c>
      <c r="D51" s="15" t="inlineStr">
        <is>
          <t>[[TO CONFIRM]] equity raised to operate dilutes us further</t>
        </is>
      </c>
      <c r="E51" s="15" t="inlineStr">
        <is>
          <t>none / judgement</t>
        </is>
      </c>
      <c r="F51" s="15" t="inlineStr">
        <is>
          <t>Y</t>
        </is>
      </c>
      <c r="G51" s="15" t="inlineStr">
        <is>
          <t>2026-06-29</t>
        </is>
      </c>
    </row>
  </sheetData>
  <mergeCells count="1">
    <mergeCell ref="A5:I10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2026-06-30T04:59:20Z</dcterms:created>
  <dcterms:modified xmlns:dcterms="http://purl.org/dc/terms/" xmlns:xsi="http://www.w3.org/2001/XMLSchema-instance" xsi:type="dcterms:W3CDTF">2026-06-30T04:59:20Z</dcterms:modified>
</cp:coreProperties>
</file>