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9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4" fontId="9" fillId="3" borderId="1" pivotButton="0" quotePrefix="0" xfId="0"/>
    <xf numFmtId="168" fontId="9" fillId="0" borderId="1" pivotButton="0" quotePrefix="0" xfId="0"/>
    <xf numFmtId="170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'Checks'!$B$23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Claude Code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Claude Code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Claude Code (v3 exit-basis)</t>
        </is>
      </c>
    </row>
    <row r="7">
      <c r="C7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19"/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(separate gate)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connection success rate &amp; duration (benchmark)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6"/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5" t="n">
        <v>0.4</v>
      </c>
      <c r="C5" s="25" t="n">
        <v>0.65</v>
      </c>
      <c r="D5" s="25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9">
      <c r="A9" s="3" t="inlineStr">
        <is>
          <t>Live discount rate (= base; scenarios don't move it)</t>
        </is>
      </c>
      <c r="E9" s="34">
        <f>'Inputs'!$C$7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5" t="n">
        <v>0.3</v>
      </c>
      <c r="C13" s="25" t="n">
        <v>0.5</v>
      </c>
      <c r="D13" s="25" t="n">
        <v>0.2</v>
      </c>
      <c r="E13" s="18">
        <f>SUM(B13:D13)</f>
        <v/>
      </c>
    </row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Realised net programme profit (gross − total dev cost)</t>
        </is>
      </c>
      <c r="C14" s="50">
        <f>C13-C10</f>
        <v/>
      </c>
    </row>
    <row r="15">
      <c r="A15" s="15" t="inlineStr">
        <is>
          <t>Forward run-rate annual dev profit (= realised ÷ term)</t>
        </is>
      </c>
      <c r="C15" s="44">
        <f>IFERROR(C14/'Inputs'!$C$11,0)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49">
        <f>AVERAGE('Calc_Project_rNPV'!$D$4:$D$9)</f>
        <v/>
      </c>
    </row>
    <row r="18">
      <c r="A18" s="15" t="inlineStr">
        <is>
          <t>Discount factor @ base over avg years</t>
        </is>
      </c>
      <c r="C18" s="45">
        <f>1/(1+'Inputs'!$C$7)^C17</f>
        <v/>
      </c>
    </row>
    <row r="19">
      <c r="A19" s="15" t="inlineStr">
        <is>
          <t>Per-project rNPV (blended; live scenario)</t>
        </is>
      </c>
      <c r="C19" s="44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0">
        <f>'Inputs'!$C$48</f>
        <v/>
      </c>
    </row>
    <row r="21">
      <c r="A21" s="3" t="inlineStr">
        <is>
          <t>Forward pipeline rNPV at exit (= depth × per-project)</t>
        </is>
      </c>
      <c r="C21" s="50">
        <f>C20*C19</f>
        <v/>
      </c>
    </row>
    <row r="22">
      <c r="A22" s="15" t="inlineStr">
        <is>
          <t>Net cash retained at exit (= MAX(0,realised) × (1−dist frac))</t>
        </is>
      </c>
      <c r="C22" s="50">
        <f>MAX(0,C14)*(1-'Inputs'!$C$49)</f>
        <v/>
      </c>
    </row>
    <row r="23">
      <c r="A23" s="15" t="inlineStr">
        <is>
          <t>Debt at exit</t>
        </is>
      </c>
      <c r="C23" s="51">
        <f>'Inputs'!$C$50</f>
        <v/>
      </c>
    </row>
    <row r="24">
      <c r="A24" s="3" t="inlineStr">
        <is>
          <t>Company exit equity = forward + retained − debt</t>
        </is>
      </c>
      <c r="C24" s="52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0">
        <f>MAX(0,C15)*'Inputs'!$C$52+C22-C23</f>
        <v/>
      </c>
    </row>
    <row r="27">
      <c r="A27" s="15" t="inlineStr">
        <is>
          <t>Cross-check exit eq — base</t>
        </is>
      </c>
      <c r="C27" s="50">
        <f>MAX(0,C15)*'Inputs'!$C$53+C22-C23</f>
        <v/>
      </c>
    </row>
    <row r="28">
      <c r="A28" s="15" t="inlineStr">
        <is>
          <t>Cross-check exit eq — high</t>
        </is>
      </c>
      <c r="C28" s="50">
        <f>MAX(0,C15)*'Inputs'!$C$54+C22-C23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1">
        <f>'Inputs'!$C$13</f>
        <v/>
      </c>
    </row>
    <row r="5">
      <c r="A5" s="15" t="inlineStr">
        <is>
          <t>Our investment</t>
        </is>
      </c>
      <c r="B5" s="51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Realised 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Forward pipeline rNPV at exit (depth × per-project)</t>
        </is>
      </c>
      <c r="B21" s="44">
        <f>'Inputs'!$C$48*('Calc_Project_rNPV'!$M$11*B13-B15)*B12*'Calc_Company'!$C$18</f>
        <v/>
      </c>
      <c r="C21" s="44">
        <f>'Inputs'!$C$48*('Calc_Project_rNPV'!$M$11*C13-C15)*C12*'Calc_Company'!$C$18</f>
        <v/>
      </c>
      <c r="D21" s="44">
        <f>'Inputs'!$C$48*('Calc_Project_rNPV'!$M$11*D13-D15)*D12*'Calc_Company'!$C$18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4">
        <f>MAX(0,B20)*(1-'Inputs'!$C$49)</f>
        <v/>
      </c>
      <c r="C22" s="44">
        <f>MAX(0,C20)*(1-'Inputs'!$C$49)</f>
        <v/>
      </c>
      <c r="D22" s="44">
        <f>MAX(0,D20)*(1-'Inputs'!$C$49)</f>
        <v/>
      </c>
    </row>
    <row r="23">
      <c r="A23" s="3" t="inlineStr">
        <is>
          <t>Company exit equity = fwd + retained − debt</t>
        </is>
      </c>
      <c r="B23" s="53">
        <f>MAX(0,B21+B22-'Inputs'!$C$50)</f>
        <v/>
      </c>
      <c r="C23" s="53">
        <f>MAX(0,C21+C22-'Inputs'!$C$50)</f>
        <v/>
      </c>
      <c r="D23" s="53">
        <f>MAX(0,D21+D22-'Inputs'!$C$50)</f>
        <v/>
      </c>
    </row>
    <row r="24">
      <c r="A24" s="15" t="inlineStr">
        <is>
          <t>As-converted (diluted × exit equity)</t>
        </is>
      </c>
      <c r="B24" s="44">
        <f>'Returns'!$B$8*B23</f>
        <v/>
      </c>
      <c r="C24" s="44">
        <f>'Returns'!$B$8*C23</f>
        <v/>
      </c>
      <c r="D24" s="44">
        <f>'Returns'!$B$8*D23</f>
        <v/>
      </c>
    </row>
    <row r="25">
      <c r="A25" s="15" t="inlineStr">
        <is>
          <t>Preference claim = MIN(liq×inv, exit eq)</t>
        </is>
      </c>
      <c r="B25" s="44">
        <f>MIN('Inputs'!$C$17*'Inputs'!$C$14,B23)</f>
        <v/>
      </c>
      <c r="C25" s="44">
        <f>MIN('Inputs'!$C$17*'Inputs'!$C$14,C23)</f>
        <v/>
      </c>
      <c r="D25" s="44">
        <f>MIN('Inputs'!$C$17*'Inputs'!$C$14,D23)</f>
        <v/>
      </c>
    </row>
    <row r="26">
      <c r="A26" s="3" t="inlineStr">
        <is>
          <t>Terminal proceeds = MAX(pref, as-converted)</t>
        </is>
      </c>
      <c r="B26" s="47">
        <f>MAX(B25,B24)</f>
        <v/>
      </c>
      <c r="C26" s="47">
        <f>MAX(C25,C24)</f>
        <v/>
      </c>
      <c r="D26" s="47">
        <f>MAX(D25,D24)</f>
        <v/>
      </c>
    </row>
    <row r="27">
      <c r="A27" s="15" t="inlineStr">
        <is>
          <t>Interim distributions (diluted×dist×realised)</t>
        </is>
      </c>
      <c r="B27" s="44">
        <f>'Returns'!$B$8*'Inputs'!$C$49*MAX(0,B20)</f>
        <v/>
      </c>
      <c r="C27" s="44">
        <f>'Returns'!$B$8*'Inputs'!$C$49*MAX(0,C20)</f>
        <v/>
      </c>
      <c r="D27" s="44">
        <f>'Returns'!$B$8*'Inputs'!$C$49*MAX(0,D20)</f>
        <v/>
      </c>
    </row>
    <row r="28">
      <c r="A28" s="3" t="inlineStr">
        <is>
          <t>Our total proceeds = terminal + interim</t>
        </is>
      </c>
      <c r="B28" s="47">
        <f>B26+B27</f>
        <v/>
      </c>
      <c r="C28" s="47">
        <f>C26+C27</f>
        <v/>
      </c>
      <c r="D28" s="47">
        <f>D26+D27</f>
        <v/>
      </c>
    </row>
    <row r="29">
      <c r="A29" s="3" t="inlineStr">
        <is>
          <t>MOIC = our proceeds ÷ our investment</t>
        </is>
      </c>
      <c r="B29" s="54">
        <f>IFERROR(B28/'Inputs'!$C$14,0)</f>
        <v/>
      </c>
      <c r="C29" s="54">
        <f>IFERROR(C28/'Inputs'!$C$14,0)</f>
        <v/>
      </c>
      <c r="D29" s="54">
        <f>IFERROR(D28/'Inputs'!$C$14,0)</f>
        <v/>
      </c>
    </row>
    <row r="30">
      <c r="A30" s="3" t="inlineStr">
        <is>
          <t>Equity IRR = MOIC^(1/exit yr) − 1</t>
        </is>
      </c>
      <c r="B30" s="18">
        <f>IFERROR(B29^(1/'Inputs'!$C$18)-1,-1)</f>
        <v/>
      </c>
      <c r="C30" s="18">
        <f>IFERROR(C29^(1/'Inputs'!$C$18)-1,-1)</f>
        <v/>
      </c>
      <c r="D30" s="18">
        <f>IFERROR(D29^(1/'Inputs'!$C$18)-1,-1)</f>
        <v/>
      </c>
    </row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55">
        <f>'Scenarios'!$B$13</f>
        <v/>
      </c>
      <c r="C34" s="55">
        <f>'Scenarios'!$C$13</f>
        <v/>
      </c>
      <c r="D34" s="55">
        <f>'Scenarios'!$D$13</f>
        <v/>
      </c>
    </row>
    <row r="35">
      <c r="A35" s="15" t="inlineStr">
        <is>
          <t>Our proceeds</t>
        </is>
      </c>
      <c r="B35" s="56">
        <f>'Returns'!$B$28</f>
        <v/>
      </c>
      <c r="C35" s="56">
        <f>'Returns'!$C$28</f>
        <v/>
      </c>
      <c r="D35" s="56">
        <f>'Returns'!$D$28</f>
        <v/>
      </c>
      <c r="E35" s="47">
        <f>SUMPRODUCT('Scenarios'!$B$13:$D$13,B35:D35)</f>
        <v/>
      </c>
    </row>
    <row r="36">
      <c r="A36" s="3" t="inlineStr">
        <is>
          <t>Expected MOIC = exp proceeds ÷ investment</t>
        </is>
      </c>
      <c r="E36" s="54">
        <f>IFERROR(E35/'Inputs'!$C$14,0)</f>
        <v/>
      </c>
    </row>
    <row r="37">
      <c r="A37" s="3" t="inlineStr">
        <is>
          <t>Expected equity IRR = exp MOIC^(1/exit yr) − 1</t>
        </is>
      </c>
      <c r="E37" s="37">
        <f>IFERROR(E36^(1/'Inputs'!$C$18)-1,-1)</f>
        <v/>
      </c>
    </row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6">
        <f>'Calc_Project_rNPV'!$M$10</f>
        <v/>
      </c>
    </row>
    <row r="41">
      <c r="A41" s="15" t="inlineStr">
        <is>
          <t>$/MW benchmark (dev value)</t>
        </is>
      </c>
      <c r="C41" s="56">
        <f>'Calc_CrossChecks'!$C$9</f>
        <v/>
      </c>
    </row>
    <row r="42">
      <c r="A42" s="15" t="inlineStr">
        <is>
          <t>VC method (today value)</t>
        </is>
      </c>
      <c r="C42" s="56">
        <f>'Calc_CrossChecks'!$C$18</f>
        <v/>
      </c>
    </row>
    <row r="43">
      <c r="A43" s="3" t="inlineStr">
        <is>
          <t>Low</t>
        </is>
      </c>
      <c r="C43" s="47">
        <f>MIN(C40:C42)</f>
        <v/>
      </c>
    </row>
    <row r="44">
      <c r="A44" s="3" t="inlineStr">
        <is>
          <t>Midpoint</t>
        </is>
      </c>
      <c r="C44" s="48">
        <f>AVERAGE(C40:C42)</f>
        <v/>
      </c>
    </row>
    <row r="45">
      <c r="A45" s="3" t="inlineStr">
        <is>
          <t>High</t>
        </is>
      </c>
      <c r="C45" s="47">
        <f>MAX(C40:C42)</f>
        <v/>
      </c>
    </row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6">
        <f>1-'Returns'!$B$7</f>
        <v/>
      </c>
      <c r="C49" s="36">
        <f>(1-'Returns'!$B$7)*(1-'Inputs'!$C$15)*(1-'Inputs'!$C$16)</f>
        <v/>
      </c>
    </row>
    <row r="50">
      <c r="A50" s="3" t="inlineStr">
        <is>
          <t>Us (new investor)</t>
        </is>
      </c>
      <c r="B50" s="35">
        <f>'Returns'!$B$7</f>
        <v/>
      </c>
      <c r="C50" s="57">
        <f>'Returns'!$B$8</f>
        <v/>
      </c>
    </row>
    <row r="51">
      <c r="A51" s="15" t="inlineStr">
        <is>
          <t>Option pool (staff)</t>
        </is>
      </c>
      <c r="B51" s="36" t="n">
        <v>0</v>
      </c>
      <c r="C51" s="36">
        <f>'Inputs'!$C$15*(1-'Inputs'!$C$16)</f>
        <v/>
      </c>
    </row>
    <row r="52">
      <c r="A52" s="15" t="inlineStr">
        <is>
          <t>Future-round investors</t>
        </is>
      </c>
      <c r="B52" s="36" t="n">
        <v>0</v>
      </c>
      <c r="C52" s="35">
        <f>'Inputs'!$C$16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6">
        <f>'Returns'!$C$23</f>
        <v/>
      </c>
    </row>
    <row r="57">
      <c r="A57" s="3" t="inlineStr">
        <is>
          <t>Our terminal proceeds (1x pref / as-converted)</t>
        </is>
      </c>
      <c r="C57" s="56">
        <f>'Returns'!$C$26</f>
        <v/>
      </c>
    </row>
    <row r="58">
      <c r="A58" s="15" t="inlineStr">
        <is>
          <t>Other holders' proceeds (residual)</t>
        </is>
      </c>
      <c r="C58" s="44">
        <f>C56-C57</f>
        <v/>
      </c>
    </row>
    <row r="59">
      <c r="A59" s="3" t="inlineStr">
        <is>
          <t>Distributed (ours + others = exit equity)</t>
        </is>
      </c>
      <c r="C59" s="47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'Inputs'!$C$21*'Scenarios'!$C$7*6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8">
        <f>'Inputs'!$C$30</f>
        <v/>
      </c>
      <c r="C22" s="58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8">
        <f>'Inputs'!$C$31</f>
        <v/>
      </c>
      <c r="C23" s="58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8">
        <f>'Inputs'!$C$32</f>
        <v/>
      </c>
      <c r="C24" s="58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Pipeline depth at exit</t>
        </is>
      </c>
      <c r="B6" s="40">
        <f>'Inputs'!$C$48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'Inputs'!$C$18</f>
        <v/>
      </c>
    </row>
    <row r="10">
      <c r="A10" s="15" t="inlineStr">
        <is>
          <t>Base blended sale/project $m</t>
        </is>
      </c>
      <c r="B10" s="56">
        <f>'Calc_Project_rNPV'!$M$11</f>
        <v/>
      </c>
    </row>
    <row r="11">
      <c r="A11" s="15" t="inlineStr">
        <is>
          <t>Dev cost/project $m</t>
        </is>
      </c>
      <c r="B11" s="56">
        <f>'Inputs'!$C$21</f>
        <v/>
      </c>
    </row>
    <row r="12">
      <c r="A12" s="15" t="inlineStr">
        <is>
          <t>Disc factor @ base over avg years</t>
        </is>
      </c>
      <c r="B12" s="59">
        <f>'Calc_Company'!$C$18</f>
        <v/>
      </c>
    </row>
    <row r="13">
      <c r="A13" s="15" t="inlineStr">
        <is>
          <t>Retain fraction (1 − dist)</t>
        </is>
      </c>
      <c r="B13" s="36">
        <f>1-'Inputs'!$C$49</f>
        <v/>
      </c>
    </row>
    <row r="14">
      <c r="A14" s="15" t="inlineStr">
        <is>
          <t>Debt at exit $m</t>
        </is>
      </c>
      <c r="B14" s="56">
        <f>'Inputs'!$C$50</f>
        <v/>
      </c>
    </row>
    <row r="17">
      <c r="B17" s="60" t="inlineStr">
        <is>
          <t>Price mult →</t>
        </is>
      </c>
      <c r="C17" s="32" t="n">
        <v>0.7</v>
      </c>
      <c r="D17" s="32" t="n">
        <v>0.85</v>
      </c>
      <c r="E17" s="32" t="n">
        <v>1</v>
      </c>
      <c r="F17" s="32" t="n">
        <v>1.15</v>
      </c>
      <c r="G17" s="32" t="n">
        <v>1.3</v>
      </c>
    </row>
    <row r="18">
      <c r="B18" s="60" t="inlineStr">
        <is>
          <t>Gross $m →</t>
        </is>
      </c>
      <c r="C18" s="61">
        <f>'Inputs'!$C$10*'Calc_Project_rNPV'!$M$11*C17</f>
        <v/>
      </c>
      <c r="D18" s="61">
        <f>'Inputs'!$C$10*'Calc_Project_rNPV'!$M$11*D17</f>
        <v/>
      </c>
      <c r="E18" s="61">
        <f>'Inputs'!$C$10*'Calc_Project_rNPV'!$M$11*E17</f>
        <v/>
      </c>
      <c r="F18" s="61">
        <f>'Inputs'!$C$10*'Calc_Project_rNPV'!$M$11*F17</f>
        <v/>
      </c>
      <c r="G18" s="61">
        <f>'Inputs'!$C$10*'Calc_Project_rNPV'!$M$11*G17</f>
        <v/>
      </c>
    </row>
    <row r="19">
      <c r="B19" s="62" t="inlineStr">
        <is>
          <t>DA gate ↓</t>
        </is>
      </c>
      <c r="C19" s="62" t="inlineStr">
        <is>
          <t>IRR</t>
        </is>
      </c>
      <c r="D19" s="62" t="inlineStr">
        <is>
          <t>IRR</t>
        </is>
      </c>
      <c r="E19" s="62" t="inlineStr">
        <is>
          <t>IRR</t>
        </is>
      </c>
      <c r="F19" s="62" t="inlineStr">
        <is>
          <t>IRR</t>
        </is>
      </c>
      <c r="G19" s="62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6">
        <f>IFERROR((R20/$B$8)^(1/$B$9)-1,-1)</f>
        <v/>
      </c>
      <c r="D20" s="36">
        <f>IFERROR((S20/$B$8)^(1/$B$9)-1,-1)</f>
        <v/>
      </c>
      <c r="E20" s="36">
        <f>IFERROR((T20/$B$8)^(1/$B$9)-1,-1)</f>
        <v/>
      </c>
      <c r="F20" s="36">
        <f>IFERROR((U20/$B$8)^(1/$B$9)-1,-1)</f>
        <v/>
      </c>
      <c r="G20" s="36">
        <f>IFERROR((V20/$B$8)^(1/$B$9)-1,-1)</f>
        <v/>
      </c>
      <c r="H20" s="36">
        <f>$B20*$B$4</f>
        <v/>
      </c>
      <c r="I20" s="49">
        <f>IFERROR('Inputs'!$C$10/H20,0)</f>
        <v/>
      </c>
      <c r="J20" s="50">
        <f>'Inputs'!$C$10*'Inputs'!$C$21+(I20-'Inputs'!$C$10)*'Inputs'!$C$22*'Inputs'!$C$21</f>
        <v/>
      </c>
      <c r="L20" s="44">
        <f>MAX(0,$B$6*($B$10*C$17-$B$11)*$H20*$B$12+MAX(0,C$18-$J20)*$B$13-$B$14)</f>
        <v/>
      </c>
      <c r="M20" s="44">
        <f>MAX(0,$B$6*($B$10*D$17-$B$11)*$H20*$B$12+MAX(0,D$18-$J20)*$B$13-$B$14)</f>
        <v/>
      </c>
      <c r="N20" s="44">
        <f>MAX(0,$B$6*($B$10*E$17-$B$11)*$H20*$B$12+MAX(0,E$18-$J20)*$B$13-$B$14)</f>
        <v/>
      </c>
      <c r="O20" s="44">
        <f>MAX(0,$B$6*($B$10*F$17-$B$11)*$H20*$B$12+MAX(0,F$18-$J20)*$B$13-$B$14)</f>
        <v/>
      </c>
      <c r="P20" s="44">
        <f>MAX(0,$B$6*($B$10*G$17-$B$11)*$H20*$B$12+MAX(0,G$18-$J20)*$B$13-$B$14)</f>
        <v/>
      </c>
      <c r="R20" s="44">
        <f>MAX(MIN($B$7,L20),$B$5*L20)</f>
        <v/>
      </c>
      <c r="S20" s="44">
        <f>MAX(MIN($B$7,M20),$B$5*M20)</f>
        <v/>
      </c>
      <c r="T20" s="44">
        <f>MAX(MIN($B$7,N20),$B$5*N20)</f>
        <v/>
      </c>
      <c r="U20" s="44">
        <f>MAX(MIN($B$7,O20),$B$5*O20)</f>
        <v/>
      </c>
      <c r="V20" s="44">
        <f>MAX(MIN($B$7,P20),$B$5*P20)</f>
        <v/>
      </c>
    </row>
    <row r="21">
      <c r="B21" s="25" t="n">
        <v>0.55</v>
      </c>
      <c r="C21" s="36">
        <f>IFERROR((R21/$B$8)^(1/$B$9)-1,-1)</f>
        <v/>
      </c>
      <c r="D21" s="36">
        <f>IFERROR((S21/$B$8)^(1/$B$9)-1,-1)</f>
        <v/>
      </c>
      <c r="E21" s="36">
        <f>IFERROR((T21/$B$8)^(1/$B$9)-1,-1)</f>
        <v/>
      </c>
      <c r="F21" s="36">
        <f>IFERROR((U21/$B$8)^(1/$B$9)-1,-1)</f>
        <v/>
      </c>
      <c r="G21" s="36">
        <f>IFERROR((V21/$B$8)^(1/$B$9)-1,-1)</f>
        <v/>
      </c>
      <c r="H21" s="36">
        <f>$B21*$B$4</f>
        <v/>
      </c>
      <c r="I21" s="49">
        <f>IFERROR('Inputs'!$C$10/H21,0)</f>
        <v/>
      </c>
      <c r="J21" s="50">
        <f>'Inputs'!$C$10*'Inputs'!$C$21+(I21-'Inputs'!$C$10)*'Inputs'!$C$22*'Inputs'!$C$21</f>
        <v/>
      </c>
      <c r="L21" s="44">
        <f>MAX(0,$B$6*($B$10*C$17-$B$11)*$H21*$B$12+MAX(0,C$18-$J21)*$B$13-$B$14)</f>
        <v/>
      </c>
      <c r="M21" s="44">
        <f>MAX(0,$B$6*($B$10*D$17-$B$11)*$H21*$B$12+MAX(0,D$18-$J21)*$B$13-$B$14)</f>
        <v/>
      </c>
      <c r="N21" s="44">
        <f>MAX(0,$B$6*($B$10*E$17-$B$11)*$H21*$B$12+MAX(0,E$18-$J21)*$B$13-$B$14)</f>
        <v/>
      </c>
      <c r="O21" s="44">
        <f>MAX(0,$B$6*($B$10*F$17-$B$11)*$H21*$B$12+MAX(0,F$18-$J21)*$B$13-$B$14)</f>
        <v/>
      </c>
      <c r="P21" s="44">
        <f>MAX(0,$B$6*($B$10*G$17-$B$11)*$H21*$B$12+MAX(0,G$18-$J21)*$B$13-$B$14)</f>
        <v/>
      </c>
      <c r="R21" s="44">
        <f>MAX(MIN($B$7,L21),$B$5*L21)</f>
        <v/>
      </c>
      <c r="S21" s="44">
        <f>MAX(MIN($B$7,M21),$B$5*M21)</f>
        <v/>
      </c>
      <c r="T21" s="44">
        <f>MAX(MIN($B$7,N21),$B$5*N21)</f>
        <v/>
      </c>
      <c r="U21" s="44">
        <f>MAX(MIN($B$7,O21),$B$5*O21)</f>
        <v/>
      </c>
      <c r="V21" s="44">
        <f>MAX(MIN($B$7,P21),$B$5*P21)</f>
        <v/>
      </c>
    </row>
    <row r="22">
      <c r="B22" s="25" t="n">
        <v>0.65</v>
      </c>
      <c r="C22" s="36">
        <f>IFERROR((R22/$B$8)^(1/$B$9)-1,-1)</f>
        <v/>
      </c>
      <c r="D22" s="36">
        <f>IFERROR((S22/$B$8)^(1/$B$9)-1,-1)</f>
        <v/>
      </c>
      <c r="E22" s="36">
        <f>IFERROR((T22/$B$8)^(1/$B$9)-1,-1)</f>
        <v/>
      </c>
      <c r="F22" s="36">
        <f>IFERROR((U22/$B$8)^(1/$B$9)-1,-1)</f>
        <v/>
      </c>
      <c r="G22" s="36">
        <f>IFERROR((V22/$B$8)^(1/$B$9)-1,-1)</f>
        <v/>
      </c>
      <c r="H22" s="36">
        <f>$B22*$B$4</f>
        <v/>
      </c>
      <c r="I22" s="49">
        <f>IFERROR('Inputs'!$C$10/H22,0)</f>
        <v/>
      </c>
      <c r="J22" s="50">
        <f>'Inputs'!$C$10*'Inputs'!$C$21+(I22-'Inputs'!$C$10)*'Inputs'!$C$22*'Inputs'!$C$21</f>
        <v/>
      </c>
      <c r="L22" s="44">
        <f>MAX(0,$B$6*($B$10*C$17-$B$11)*$H22*$B$12+MAX(0,C$18-$J22)*$B$13-$B$14)</f>
        <v/>
      </c>
      <c r="M22" s="44">
        <f>MAX(0,$B$6*($B$10*D$17-$B$11)*$H22*$B$12+MAX(0,D$18-$J22)*$B$13-$B$14)</f>
        <v/>
      </c>
      <c r="N22" s="44">
        <f>MAX(0,$B$6*($B$10*E$17-$B$11)*$H22*$B$12+MAX(0,E$18-$J22)*$B$13-$B$14)</f>
        <v/>
      </c>
      <c r="O22" s="44">
        <f>MAX(0,$B$6*($B$10*F$17-$B$11)*$H22*$B$12+MAX(0,F$18-$J22)*$B$13-$B$14)</f>
        <v/>
      </c>
      <c r="P22" s="44">
        <f>MAX(0,$B$6*($B$10*G$17-$B$11)*$H22*$B$12+MAX(0,G$18-$J22)*$B$13-$B$14)</f>
        <v/>
      </c>
      <c r="R22" s="44">
        <f>MAX(MIN($B$7,L22),$B$5*L22)</f>
        <v/>
      </c>
      <c r="S22" s="44">
        <f>MAX(MIN($B$7,M22),$B$5*M22)</f>
        <v/>
      </c>
      <c r="T22" s="44">
        <f>MAX(MIN($B$7,N22),$B$5*N22)</f>
        <v/>
      </c>
      <c r="U22" s="44">
        <f>MAX(MIN($B$7,O22),$B$5*O22)</f>
        <v/>
      </c>
      <c r="V22" s="44">
        <f>MAX(MIN($B$7,P22),$B$5*P22)</f>
        <v/>
      </c>
    </row>
    <row r="23">
      <c r="B23" s="25" t="n">
        <v>0.8</v>
      </c>
      <c r="C23" s="36">
        <f>IFERROR((R23/$B$8)^(1/$B$9)-1,-1)</f>
        <v/>
      </c>
      <c r="D23" s="36">
        <f>IFERROR((S23/$B$8)^(1/$B$9)-1,-1)</f>
        <v/>
      </c>
      <c r="E23" s="36">
        <f>IFERROR((T23/$B$8)^(1/$B$9)-1,-1)</f>
        <v/>
      </c>
      <c r="F23" s="36">
        <f>IFERROR((U23/$B$8)^(1/$B$9)-1,-1)</f>
        <v/>
      </c>
      <c r="G23" s="36">
        <f>IFERROR((V23/$B$8)^(1/$B$9)-1,-1)</f>
        <v/>
      </c>
      <c r="H23" s="36">
        <f>$B23*$B$4</f>
        <v/>
      </c>
      <c r="I23" s="49">
        <f>IFERROR('Inputs'!$C$10/H23,0)</f>
        <v/>
      </c>
      <c r="J23" s="50">
        <f>'Inputs'!$C$10*'Inputs'!$C$21+(I23-'Inputs'!$C$10)*'Inputs'!$C$22*'Inputs'!$C$21</f>
        <v/>
      </c>
      <c r="L23" s="44">
        <f>MAX(0,$B$6*($B$10*C$17-$B$11)*$H23*$B$12+MAX(0,C$18-$J23)*$B$13-$B$14)</f>
        <v/>
      </c>
      <c r="M23" s="44">
        <f>MAX(0,$B$6*($B$10*D$17-$B$11)*$H23*$B$12+MAX(0,D$18-$J23)*$B$13-$B$14)</f>
        <v/>
      </c>
      <c r="N23" s="44">
        <f>MAX(0,$B$6*($B$10*E$17-$B$11)*$H23*$B$12+MAX(0,E$18-$J23)*$B$13-$B$14)</f>
        <v/>
      </c>
      <c r="O23" s="44">
        <f>MAX(0,$B$6*($B$10*F$17-$B$11)*$H23*$B$12+MAX(0,F$18-$J23)*$B$13-$B$14)</f>
        <v/>
      </c>
      <c r="P23" s="44">
        <f>MAX(0,$B$6*($B$10*G$17-$B$11)*$H23*$B$12+MAX(0,G$18-$J23)*$B$13-$B$14)</f>
        <v/>
      </c>
      <c r="R23" s="44">
        <f>MAX(MIN($B$7,L23),$B$5*L23)</f>
        <v/>
      </c>
      <c r="S23" s="44">
        <f>MAX(MIN($B$7,M23),$B$5*M23)</f>
        <v/>
      </c>
      <c r="T23" s="44">
        <f>MAX(MIN($B$7,N23),$B$5*N23)</f>
        <v/>
      </c>
      <c r="U23" s="44">
        <f>MAX(MIN($B$7,O23),$B$5*O23)</f>
        <v/>
      </c>
      <c r="V23" s="44">
        <f>MAX(MIN($B$7,P23),$B$5*P23)</f>
        <v/>
      </c>
    </row>
    <row r="24">
      <c r="B24" s="25" t="n">
        <v>0.95</v>
      </c>
      <c r="C24" s="36">
        <f>IFERROR((R24/$B$8)^(1/$B$9)-1,-1)</f>
        <v/>
      </c>
      <c r="D24" s="36">
        <f>IFERROR((S24/$B$8)^(1/$B$9)-1,-1)</f>
        <v/>
      </c>
      <c r="E24" s="36">
        <f>IFERROR((T24/$B$8)^(1/$B$9)-1,-1)</f>
        <v/>
      </c>
      <c r="F24" s="36">
        <f>IFERROR((U24/$B$8)^(1/$B$9)-1,-1)</f>
        <v/>
      </c>
      <c r="G24" s="36">
        <f>IFERROR((V24/$B$8)^(1/$B$9)-1,-1)</f>
        <v/>
      </c>
      <c r="H24" s="36">
        <f>$B24*$B$4</f>
        <v/>
      </c>
      <c r="I24" s="49">
        <f>IFERROR('Inputs'!$C$10/H24,0)</f>
        <v/>
      </c>
      <c r="J24" s="50">
        <f>'Inputs'!$C$10*'Inputs'!$C$21+(I24-'Inputs'!$C$10)*'Inputs'!$C$22*'Inputs'!$C$21</f>
        <v/>
      </c>
      <c r="L24" s="44">
        <f>MAX(0,$B$6*($B$10*C$17-$B$11)*$H24*$B$12+MAX(0,C$18-$J24)*$B$13-$B$14)</f>
        <v/>
      </c>
      <c r="M24" s="44">
        <f>MAX(0,$B$6*($B$10*D$17-$B$11)*$H24*$B$12+MAX(0,D$18-$J24)*$B$13-$B$14)</f>
        <v/>
      </c>
      <c r="N24" s="44">
        <f>MAX(0,$B$6*($B$10*E$17-$B$11)*$H24*$B$12+MAX(0,E$18-$J24)*$B$13-$B$14)</f>
        <v/>
      </c>
      <c r="O24" s="44">
        <f>MAX(0,$B$6*($B$10*F$17-$B$11)*$H24*$B$12+MAX(0,F$18-$J24)*$B$13-$B$14)</f>
        <v/>
      </c>
      <c r="P24" s="44">
        <f>MAX(0,$B$6*($B$10*G$17-$B$11)*$H24*$B$12+MAX(0,G$18-$J24)*$B$13-$B$14)</f>
        <v/>
      </c>
      <c r="R24" s="44">
        <f>MAX(MIN($B$7,L24),$B$5*L24)</f>
        <v/>
      </c>
      <c r="S24" s="44">
        <f>MAX(MIN($B$7,M24),$B$5*M24)</f>
        <v/>
      </c>
      <c r="T24" s="44">
        <f>MAX(MIN($B$7,N24),$B$5*N24)</f>
        <v/>
      </c>
      <c r="U24" s="44">
        <f>MAX(MIN($B$7,O24),$B$5*O24)</f>
        <v/>
      </c>
      <c r="V24" s="44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3">
        <f>MIN('Returns'!$B$30:$D$30)</f>
        <v/>
      </c>
      <c r="F16" s="63">
        <f>MAX('Returns'!$B$30:$D$30)</f>
        <v/>
      </c>
      <c r="G16" s="55">
        <f>'Returns'!$E$37</f>
        <v/>
      </c>
    </row>
    <row r="17">
      <c r="A17" s="15" t="inlineStr">
        <is>
          <t>Our proceeds non-negative (all scenarios)</t>
        </is>
      </c>
      <c r="B17" s="38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SUMPRODUCT(--ISERROR('Returns'!$B$30:$D$30))</f>
        <v/>
      </c>
      <c r="G18" s="38">
        <f>SUMPRODUCT(--ISERROR('Sensitivity'!$C$20:$G$24))</f>
        <v/>
      </c>
    </row>
    <row r="19">
      <c r="A19" s="15" t="inlineStr">
        <is>
          <t>Cap table ties (ownership sums to 100%)</t>
        </is>
      </c>
      <c r="B19" s="38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38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38">
        <f>IF('Returns'!$C$23&lt;='Returns'!$C$21+'Returns'!$C$22+0.000001,"OK","ERROR")</f>
        <v/>
      </c>
      <c r="C21" s="10" t="inlineStr">
        <is>
          <t>Retained-cash-only guard</t>
        </is>
      </c>
    </row>
    <row r="23">
      <c r="A23" s="3" t="inlineStr">
        <is>
          <t>MASTER CHECK</t>
        </is>
      </c>
      <c r="B23" s="64">
        <f>IF(COUNTIF(B4:B21,"ERROR")=0,"OK","ERROR")</f>
        <v/>
      </c>
    </row>
  </sheetData>
  <conditionalFormatting sqref="B4:B23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5">
        <f>'Checks'!$B$23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'Returns'!$E$37</f>
        <v/>
      </c>
      <c r="D7" s="15" t="inlineStr">
        <is>
          <t>Post-money valuation $m</t>
        </is>
      </c>
      <c r="E7" s="51">
        <f>'Returns'!$B$6</f>
        <v/>
      </c>
    </row>
    <row r="8">
      <c r="A8" s="15" t="inlineStr">
        <is>
          <t>Expected MOIC</t>
        </is>
      </c>
      <c r="B8" s="66">
        <f>'Returns'!$E$36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6">
        <f>'Inputs'!$C$17</f>
        <v/>
      </c>
    </row>
    <row r="11">
      <c r="D11" s="15" t="inlineStr">
        <is>
          <t>Exit year</t>
        </is>
      </c>
      <c r="E11" s="40">
        <f>'Inputs'!$C$18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7" t="inlineStr">
        <is>
          <t>Programme capital $m</t>
        </is>
      </c>
      <c r="E14" s="51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'Returns'!$B$30</f>
        <v/>
      </c>
      <c r="D15" s="68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'Returns'!$C$30</f>
        <v/>
      </c>
      <c r="D16" s="68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'Returns'!$D$30</f>
        <v/>
      </c>
      <c r="D17" s="68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2026-06-26T05:50:02Z</dcterms:created>
  <dcterms:modified xmlns:dcterms="http://purl.org/dc/terms/" xmlns:xsi="http://www.w3.org/2001/XMLSchema-instance" xsi:type="dcterms:W3CDTF">2026-06-26T05:51:05Z</dcterms:modified>
</cp:coreProperties>
</file>