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2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2" fontId="6" fillId="4" borderId="1" applyAlignment="1" pivotButton="0" quotePrefix="0" xfId="0">
      <alignment horizontal="center" vertical="top"/>
    </xf>
    <xf numFmtId="2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top"/>
    </xf>
    <xf numFmtId="3" fontId="9" fillId="0" borderId="1" pivotButton="0" quotePrefix="0" xfId="0"/>
    <xf numFmtId="169" fontId="9" fillId="0" borderId="1" pivotButton="0" quotePrefix="0" xfId="0"/>
    <xf numFmtId="168" fontId="5" fillId="0" borderId="1" pivotButton="0" quotePrefix="0" xfId="0"/>
    <xf numFmtId="2" fontId="9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7" fillId="3" borderId="1" pivotButton="0" quotePrefix="0" xfId="0"/>
    <xf numFmtId="165" fontId="9" fillId="0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4" fontId="9" fillId="0" borderId="1" applyAlignment="1" pivotButton="0" quotePrefix="0" xfId="0">
      <alignment horizontal="center" vertical="top"/>
    </xf>
    <xf numFmtId="167" fontId="9" fillId="0" borderId="1" pivotButton="0" quotePrefix="0" xfId="0"/>
    <xf numFmtId="164" fontId="9" fillId="3" borderId="1" pivotButton="0" quotePrefix="0" xfId="0"/>
    <xf numFmtId="168" fontId="9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166" fontId="9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Input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v2.0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'Checks'!$B$22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Reframe</t>
        </is>
      </c>
      <c r="B13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4">
      <c r="A14" s="3" t="inlineStr">
        <is>
          <t>Outputs</t>
        </is>
      </c>
      <c r="B14" s="4" t="inlineStr">
        <is>
          <t>Cap table, return on our shares (equity IRR &amp; MOIC) by scenario, First-Chicago expected return, per-pipeline valuation cross-check, sensitivities.</t>
        </is>
      </c>
    </row>
    <row r="15">
      <c r="A15" s="3" t="inlineStr">
        <is>
          <t>Detail / horizon</t>
        </is>
      </c>
      <c r="B15" s="4" t="inlineStr">
        <is>
          <t>Company programme ~2+1-year cycle; our exit year is a placeholder. AUD, $m.</t>
        </is>
      </c>
    </row>
    <row r="16">
      <c r="A16" s="3" t="inlineStr">
        <is>
          <t>Out of scope</t>
        </is>
      </c>
      <c r="B16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platform exit multiple, exit year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Inputs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net profit → company exit equity value (live)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Claude Code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Claude Code (v2 reframe)</t>
        </is>
      </c>
    </row>
    <row r="6">
      <c r="C6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INPUTS — all model assumptions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'Inputs'!$C$5+'Inputs'!$C$6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Platform exit multiple (on net programme profit)</t>
        </is>
      </c>
      <c r="C18" s="22" t="n">
        <v>4</v>
      </c>
      <c r="D18" s="15" t="inlineStr">
        <is>
          <t>multiple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19">
      <c r="A19" s="15" t="inlineStr">
        <is>
          <t>Exit year (we sell our shares)</t>
        </is>
      </c>
      <c r="C19" s="20" t="n">
        <v>5</v>
      </c>
      <c r="D19" s="15" t="inlineStr">
        <is>
          <t>years</t>
        </is>
      </c>
      <c r="E19" s="14" t="inlineStr">
        <is>
          <t>Illustrative / the manager claim (see config)</t>
        </is>
      </c>
      <c r="F19" s="17" t="inlineStr">
        <is>
          <t>2026-06-26</t>
        </is>
      </c>
      <c r="G19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3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4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5" t="n">
        <v>1.25</v>
      </c>
    </row>
    <row r="27">
      <c r="A27" s="15" t="inlineStr">
        <is>
          <t>Grid connection (separate gate)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connection success rate &amp; duration (benchmark)</t>
        </is>
      </c>
      <c r="F27" s="17" t="inlineStr">
        <is>
          <t>2026-06-24</t>
        </is>
      </c>
      <c r="G27" s="17" t="inlineStr">
        <is>
          <t>BENCHMARK</t>
        </is>
      </c>
      <c r="H27" s="25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5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4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4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4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6" t="n">
        <v>0.5</v>
      </c>
      <c r="D36" s="26" t="n">
        <v>0.5</v>
      </c>
      <c r="E36" s="26" t="n">
        <v>0</v>
      </c>
      <c r="F36" s="26" t="n">
        <v>0</v>
      </c>
    </row>
    <row r="37">
      <c r="A37" s="15" t="inlineStr">
        <is>
          <t>Distribution profile</t>
        </is>
      </c>
      <c r="C37" s="26" t="n">
        <v>0</v>
      </c>
      <c r="D37" s="26" t="n">
        <v>0</v>
      </c>
      <c r="E37" s="26" t="n">
        <v>0.5</v>
      </c>
      <c r="F37" s="26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5" t="n">
        <v>2</v>
      </c>
      <c r="F40" s="27">
        <f>D40*E40</f>
        <v/>
      </c>
      <c r="G40" s="25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5" t="n">
        <v>4</v>
      </c>
      <c r="F41" s="27">
        <f>D41*E41</f>
        <v/>
      </c>
      <c r="G41" s="25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5" t="n">
        <v>2</v>
      </c>
      <c r="F42" s="27">
        <f>D42*E42</f>
        <v/>
      </c>
      <c r="G42" s="25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5" t="n">
        <v>2</v>
      </c>
      <c r="F43" s="27">
        <f>D43*E43</f>
        <v/>
      </c>
      <c r="G43" s="25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5" t="n">
        <v>2</v>
      </c>
      <c r="F44" s="27">
        <f>D44*E44</f>
        <v/>
      </c>
      <c r="G44" s="25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5" t="n">
        <v>2</v>
      </c>
      <c r="F45" s="27">
        <f>D45*E45</f>
        <v/>
      </c>
      <c r="G45" s="25" t="n">
        <v>2.5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8" t="n">
        <v>0</v>
      </c>
      <c r="C3" s="28" t="n">
        <v>1</v>
      </c>
      <c r="D3" s="28" t="n">
        <v>2</v>
      </c>
      <c r="E3" s="28" t="n">
        <v>3</v>
      </c>
    </row>
    <row r="4">
      <c r="A4" s="15" t="inlineStr">
        <is>
          <t>Year</t>
        </is>
      </c>
      <c r="B4" s="29">
        <f>$B$2+B3</f>
        <v/>
      </c>
      <c r="C4" s="29">
        <f>$B$2+C3</f>
        <v/>
      </c>
      <c r="D4" s="29">
        <f>$B$2+D3</f>
        <v/>
      </c>
      <c r="E4" s="29">
        <f>$B$2+E3</f>
        <v/>
      </c>
    </row>
    <row r="5">
      <c r="A5" s="15" t="inlineStr">
        <is>
          <t>Discount factor @ live discount</t>
        </is>
      </c>
      <c r="B5" s="30">
        <f>IFERROR(1/(1+'Scenarios'!$E$9)^B3,0)</f>
        <v/>
      </c>
      <c r="C5" s="30">
        <f>IFERROR(1/(1+'Scenarios'!$E$9)^C3,0)</f>
        <v/>
      </c>
      <c r="D5" s="30">
        <f>IFERROR(1/(1+'Scenarios'!$E$9)^D3,0)</f>
        <v/>
      </c>
      <c r="E5" s="30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1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26" t="n">
        <v>0.4</v>
      </c>
      <c r="C5" s="26" t="n">
        <v>0.65</v>
      </c>
      <c r="D5" s="26" t="n">
        <v>0.8</v>
      </c>
      <c r="E5" s="18">
        <f>CHOOSE('Scenarios'!$B$2,B5,C5,D5)</f>
        <v/>
      </c>
    </row>
    <row r="6">
      <c r="A6" s="15" t="inlineStr">
        <is>
          <t>RTB price multiplier</t>
        </is>
      </c>
      <c r="B6" s="32" t="n">
        <v>0.85</v>
      </c>
      <c r="C6" s="32" t="n">
        <v>1</v>
      </c>
      <c r="D6" s="32" t="n">
        <v>1.15</v>
      </c>
      <c r="E6" s="33">
        <f>CHOOSE('Scenarios'!$B$2,B6,C6,D6)</f>
        <v/>
      </c>
    </row>
    <row r="7">
      <c r="A7" s="15" t="inlineStr">
        <is>
          <t>Dev cost multiplier</t>
        </is>
      </c>
      <c r="B7" s="32" t="n">
        <v>1.05</v>
      </c>
      <c r="C7" s="32" t="n">
        <v>1</v>
      </c>
      <c r="D7" s="32" t="n">
        <v>0.97</v>
      </c>
      <c r="E7" s="33">
        <f>CHOOSE('Scenarios'!$B$2,B7,C7,D7)</f>
        <v/>
      </c>
    </row>
    <row r="9">
      <c r="A9" s="3" t="inlineStr">
        <is>
          <t>Live discount rate (= base; scenarios don't move it)</t>
        </is>
      </c>
      <c r="E9" s="34">
        <f>'Inputs'!$C$7</f>
        <v/>
      </c>
    </row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26" t="n">
        <v>0.3</v>
      </c>
      <c r="C13" s="26" t="n">
        <v>0.5</v>
      </c>
      <c r="D13" s="26" t="n">
        <v>0.2</v>
      </c>
      <c r="E13" s="18">
        <f>SUM(B13:D13)</f>
        <v/>
      </c>
    </row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5">
        <f>'Scenarios'!$E$5</f>
        <v/>
      </c>
      <c r="C4" s="36">
        <f>B4</f>
        <v/>
      </c>
    </row>
    <row r="5">
      <c r="A5" s="15" t="inlineStr">
        <is>
          <t>Grid connection</t>
        </is>
      </c>
      <c r="B5" s="35">
        <f>'Inputs'!$C$27</f>
        <v/>
      </c>
      <c r="C5" s="36">
        <f>C4*B5</f>
        <v/>
      </c>
    </row>
    <row r="6">
      <c r="A6" s="15" t="inlineStr">
        <is>
          <t>Reach sale (flip exit)</t>
        </is>
      </c>
      <c r="B6" s="35">
        <f>'Inputs'!$C$28</f>
        <v/>
      </c>
      <c r="C6" s="36">
        <f>C5*B6</f>
        <v/>
      </c>
    </row>
    <row r="7">
      <c r="A7" s="3" t="inlineStr">
        <is>
          <t>LIVE flip success (DA x connection x sale)</t>
        </is>
      </c>
      <c r="C7" s="37">
        <f>C6</f>
        <v/>
      </c>
    </row>
    <row r="9">
      <c r="A9" s="15" t="inlineStr">
        <is>
          <t>Public-benchmark development approval</t>
        </is>
      </c>
      <c r="C9" s="35">
        <f>'Inputs'!$C$26</f>
        <v/>
      </c>
    </row>
    <row r="10">
      <c r="A10" s="3" t="inlineStr">
        <is>
          <t>Independent flip success (benchmark DA x conn x sale)</t>
        </is>
      </c>
      <c r="C10" s="18">
        <f>C9*'Inputs'!$C$27*'Inputs'!$C$28</f>
        <v/>
      </c>
    </row>
    <row r="12">
      <c r="A12" s="15" t="inlineStr">
        <is>
          <t>Manager's headline DA rate (Base — the '65%')</t>
        </is>
      </c>
      <c r="C12" s="35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'Scenarios'!$C$5*'Inputs'!$C$27*'Inputs'!$C$28</f>
        <v/>
      </c>
    </row>
    <row r="14">
      <c r="C14" s="38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'Inputs'!$A$40</f>
        <v/>
      </c>
      <c r="B4" s="39">
        <f>'Inputs'!$B$40</f>
        <v/>
      </c>
      <c r="C4" s="40">
        <f>'Inputs'!$D$40</f>
        <v/>
      </c>
      <c r="D4" s="41">
        <f>'Inputs'!$G$40</f>
        <v/>
      </c>
      <c r="E4" s="42">
        <f>IFERROR(INDEX('Inputs'!$C$30:$C$32,MATCH(B4,'Inputs'!$A$30:$A$32,0)),0)</f>
        <v/>
      </c>
      <c r="F4" s="43">
        <f>'Scenarios'!$E$6</f>
        <v/>
      </c>
      <c r="G4" s="44">
        <f>C4*E4*F4</f>
        <v/>
      </c>
      <c r="H4" s="44">
        <f>'Inputs'!$C$21*'Scenarios'!$E$7</f>
        <v/>
      </c>
      <c r="I4" s="44">
        <f>G4-H4</f>
        <v/>
      </c>
      <c r="J4" s="35">
        <f>'Calc_Survival'!$C$7</f>
        <v/>
      </c>
      <c r="K4" s="44">
        <f>I4*J4</f>
        <v/>
      </c>
      <c r="L4" s="45">
        <f>IFERROR(1/(1+'Scenarios'!$E$9)^D4,0)</f>
        <v/>
      </c>
      <c r="M4" s="44">
        <f>K4*L4</f>
        <v/>
      </c>
      <c r="N4" s="44">
        <f>C4*E4</f>
        <v/>
      </c>
    </row>
    <row r="5">
      <c r="A5" s="2">
        <f>'Inputs'!$A$41</f>
        <v/>
      </c>
      <c r="B5" s="39">
        <f>'Inputs'!$B$41</f>
        <v/>
      </c>
      <c r="C5" s="40">
        <f>'Inputs'!$D$41</f>
        <v/>
      </c>
      <c r="D5" s="41">
        <f>'Inputs'!$G$41</f>
        <v/>
      </c>
      <c r="E5" s="42">
        <f>IFERROR(INDEX('Inputs'!$C$30:$C$32,MATCH(B5,'Inputs'!$A$30:$A$32,0)),0)</f>
        <v/>
      </c>
      <c r="F5" s="43">
        <f>'Scenarios'!$E$6</f>
        <v/>
      </c>
      <c r="G5" s="44">
        <f>C5*E5*F5</f>
        <v/>
      </c>
      <c r="H5" s="44">
        <f>'Inputs'!$C$21*'Scenarios'!$E$7</f>
        <v/>
      </c>
      <c r="I5" s="44">
        <f>G5-H5</f>
        <v/>
      </c>
      <c r="J5" s="35">
        <f>'Calc_Survival'!$C$7</f>
        <v/>
      </c>
      <c r="K5" s="44">
        <f>I5*J5</f>
        <v/>
      </c>
      <c r="L5" s="45">
        <f>IFERROR(1/(1+'Scenarios'!$E$9)^D5,0)</f>
        <v/>
      </c>
      <c r="M5" s="44">
        <f>K5*L5</f>
        <v/>
      </c>
      <c r="N5" s="44">
        <f>C5*E5</f>
        <v/>
      </c>
    </row>
    <row r="6">
      <c r="A6" s="2">
        <f>'Inputs'!$A$42</f>
        <v/>
      </c>
      <c r="B6" s="39">
        <f>'Inputs'!$B$42</f>
        <v/>
      </c>
      <c r="C6" s="40">
        <f>'Inputs'!$D$42</f>
        <v/>
      </c>
      <c r="D6" s="41">
        <f>'Inputs'!$G$42</f>
        <v/>
      </c>
      <c r="E6" s="42">
        <f>IFERROR(INDEX('Inputs'!$C$30:$C$32,MATCH(B6,'Inputs'!$A$30:$A$32,0)),0)</f>
        <v/>
      </c>
      <c r="F6" s="43">
        <f>'Scenarios'!$E$6</f>
        <v/>
      </c>
      <c r="G6" s="44">
        <f>C6*E6*F6</f>
        <v/>
      </c>
      <c r="H6" s="44">
        <f>'Inputs'!$C$21*'Scenarios'!$E$7</f>
        <v/>
      </c>
      <c r="I6" s="44">
        <f>G6-H6</f>
        <v/>
      </c>
      <c r="J6" s="35">
        <f>'Calc_Survival'!$C$7</f>
        <v/>
      </c>
      <c r="K6" s="44">
        <f>I6*J6</f>
        <v/>
      </c>
      <c r="L6" s="45">
        <f>IFERROR(1/(1+'Scenarios'!$E$9)^D6,0)</f>
        <v/>
      </c>
      <c r="M6" s="44">
        <f>K6*L6</f>
        <v/>
      </c>
      <c r="N6" s="44">
        <f>C6*E6</f>
        <v/>
      </c>
    </row>
    <row r="7">
      <c r="A7" s="2">
        <f>'Inputs'!$A$43</f>
        <v/>
      </c>
      <c r="B7" s="39">
        <f>'Inputs'!$B$43</f>
        <v/>
      </c>
      <c r="C7" s="40">
        <f>'Inputs'!$D$43</f>
        <v/>
      </c>
      <c r="D7" s="41">
        <f>'Inputs'!$G$43</f>
        <v/>
      </c>
      <c r="E7" s="42">
        <f>IFERROR(INDEX('Inputs'!$C$30:$C$32,MATCH(B7,'Inputs'!$A$30:$A$32,0)),0)</f>
        <v/>
      </c>
      <c r="F7" s="43">
        <f>'Scenarios'!$E$6</f>
        <v/>
      </c>
      <c r="G7" s="44">
        <f>C7*E7*F7</f>
        <v/>
      </c>
      <c r="H7" s="44">
        <f>'Inputs'!$C$21*'Scenarios'!$E$7</f>
        <v/>
      </c>
      <c r="I7" s="44">
        <f>G7-H7</f>
        <v/>
      </c>
      <c r="J7" s="35">
        <f>'Calc_Survival'!$C$7</f>
        <v/>
      </c>
      <c r="K7" s="44">
        <f>I7*J7</f>
        <v/>
      </c>
      <c r="L7" s="45">
        <f>IFERROR(1/(1+'Scenarios'!$E$9)^D7,0)</f>
        <v/>
      </c>
      <c r="M7" s="44">
        <f>K7*L7</f>
        <v/>
      </c>
      <c r="N7" s="44">
        <f>C7*E7</f>
        <v/>
      </c>
    </row>
    <row r="8">
      <c r="A8" s="2">
        <f>'Inputs'!$A$44</f>
        <v/>
      </c>
      <c r="B8" s="39">
        <f>'Inputs'!$B$44</f>
        <v/>
      </c>
      <c r="C8" s="40">
        <f>'Inputs'!$D$44</f>
        <v/>
      </c>
      <c r="D8" s="41">
        <f>'Inputs'!$G$44</f>
        <v/>
      </c>
      <c r="E8" s="42">
        <f>IFERROR(INDEX('Inputs'!$C$30:$C$32,MATCH(B8,'Inputs'!$A$30:$A$32,0)),0)</f>
        <v/>
      </c>
      <c r="F8" s="43">
        <f>'Scenarios'!$E$6</f>
        <v/>
      </c>
      <c r="G8" s="44">
        <f>C8*E8*F8</f>
        <v/>
      </c>
      <c r="H8" s="44">
        <f>'Inputs'!$C$21*'Scenarios'!$E$7</f>
        <v/>
      </c>
      <c r="I8" s="44">
        <f>G8-H8</f>
        <v/>
      </c>
      <c r="J8" s="35">
        <f>'Calc_Survival'!$C$7</f>
        <v/>
      </c>
      <c r="K8" s="44">
        <f>I8*J8</f>
        <v/>
      </c>
      <c r="L8" s="45">
        <f>IFERROR(1/(1+'Scenarios'!$E$9)^D8,0)</f>
        <v/>
      </c>
      <c r="M8" s="44">
        <f>K8*L8</f>
        <v/>
      </c>
      <c r="N8" s="44">
        <f>C8*E8</f>
        <v/>
      </c>
    </row>
    <row r="9">
      <c r="A9" s="2">
        <f>'Inputs'!$A$45</f>
        <v/>
      </c>
      <c r="B9" s="39">
        <f>'Inputs'!$B$45</f>
        <v/>
      </c>
      <c r="C9" s="40">
        <f>'Inputs'!$D$45</f>
        <v/>
      </c>
      <c r="D9" s="41">
        <f>'Inputs'!$G$45</f>
        <v/>
      </c>
      <c r="E9" s="42">
        <f>IFERROR(INDEX('Inputs'!$C$30:$C$32,MATCH(B9,'Inputs'!$A$30:$A$32,0)),0)</f>
        <v/>
      </c>
      <c r="F9" s="43">
        <f>'Scenarios'!$E$6</f>
        <v/>
      </c>
      <c r="G9" s="44">
        <f>C9*E9*F9</f>
        <v/>
      </c>
      <c r="H9" s="44">
        <f>'Inputs'!$C$21*'Scenarios'!$E$7</f>
        <v/>
      </c>
      <c r="I9" s="44">
        <f>G9-H9</f>
        <v/>
      </c>
      <c r="J9" s="35">
        <f>'Calc_Survival'!$C$7</f>
        <v/>
      </c>
      <c r="K9" s="44">
        <f>I9*J9</f>
        <v/>
      </c>
      <c r="L9" s="45">
        <f>IFERROR(1/(1+'Scenarios'!$E$9)^D9,0)</f>
        <v/>
      </c>
      <c r="M9" s="44">
        <f>K9*L9</f>
        <v/>
      </c>
      <c r="N9" s="44">
        <f>C9*E9</f>
        <v/>
      </c>
    </row>
    <row r="10">
      <c r="A10" s="3" t="inlineStr">
        <is>
          <t>Pipeline total (representative)</t>
        </is>
      </c>
      <c r="C10" s="46">
        <f>SUM(C4:C9)</f>
        <v/>
      </c>
      <c r="G10" s="47">
        <f>SUM(G4:G9)</f>
        <v/>
      </c>
      <c r="H10" s="47">
        <f>SUM(H4:H9)</f>
        <v/>
      </c>
      <c r="M10" s="47">
        <f>SUM(M4:M9)</f>
        <v/>
      </c>
    </row>
    <row r="11">
      <c r="A11" s="3" t="inlineStr">
        <is>
          <t>Blended RTB sale per project (@1x)</t>
        </is>
      </c>
      <c r="M11" s="48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The company's own business plan (no fund fees, no carry): the funnel widens as success falls (projects_started = target ÷ flip success). Net programme profit = gross proceeds − total development cost. We value the company at exit as a repeatable platform = net profit × the platform exit multiple. All figures AUD $m.</t>
        </is>
      </c>
    </row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5">
        <f>'Calc_Survival'!$C$7</f>
        <v/>
      </c>
    </row>
    <row r="6">
      <c r="A6" s="15" t="inlineStr">
        <is>
          <t>Projects target (delivered &amp; sold)</t>
        </is>
      </c>
      <c r="C6" s="40">
        <f>'Inputs'!$C$10</f>
        <v/>
      </c>
    </row>
    <row r="7">
      <c r="A7" s="15" t="inlineStr">
        <is>
          <t>Projects started (funnel)</t>
        </is>
      </c>
      <c r="C7" s="49">
        <f>IFERROR(C6/C5,0)</f>
        <v/>
      </c>
    </row>
    <row r="8">
      <c r="A8" s="15" t="inlineStr">
        <is>
          <t>Projects failed (dropouts)</t>
        </is>
      </c>
      <c r="C8" s="49">
        <f>C7-C6</f>
        <v/>
      </c>
    </row>
    <row r="9">
      <c r="A9" s="15" t="inlineStr">
        <is>
          <t>Dev cost per project (live)</t>
        </is>
      </c>
      <c r="C9" s="44">
        <f>'Inputs'!$C$21*'Scenarios'!$E$7</f>
        <v/>
      </c>
    </row>
    <row r="10">
      <c r="A10" s="3" t="inlineStr">
        <is>
          <t>Total development cost</t>
        </is>
      </c>
      <c r="C10" s="50">
        <f>C6*C9+C8*'Inputs'!$C$22*C9</f>
        <v/>
      </c>
    </row>
    <row r="11">
      <c r="A11" s="6" t="inlineStr">
        <is>
          <t>Proceeds &amp; net programme profit</t>
        </is>
      </c>
    </row>
    <row r="12">
      <c r="A12" s="15" t="inlineStr">
        <is>
          <t>Blended RTB sale per project (live)</t>
        </is>
      </c>
      <c r="C12" s="44">
        <f>'Calc_Project_rNPV'!$M$11*'Scenarios'!$E$6</f>
        <v/>
      </c>
    </row>
    <row r="13">
      <c r="A13" s="3" t="inlineStr">
        <is>
          <t>Gross proceeds</t>
        </is>
      </c>
      <c r="C13" s="50">
        <f>C6*C12</f>
        <v/>
      </c>
    </row>
    <row r="14">
      <c r="A14" s="3" t="inlineStr">
        <is>
          <t>Net programme profit (gross − total dev cost)</t>
        </is>
      </c>
      <c r="C14" s="50">
        <f>C13-C10</f>
        <v/>
      </c>
    </row>
    <row r="15">
      <c r="A15" s="6" t="inlineStr">
        <is>
          <t>Company exit equity value (live)</t>
        </is>
      </c>
    </row>
    <row r="16">
      <c r="A16" s="15" t="inlineStr">
        <is>
          <t>Platform exit multiple</t>
        </is>
      </c>
      <c r="C16" s="43">
        <f>'Inputs'!$C$18</f>
        <v/>
      </c>
    </row>
    <row r="17">
      <c r="A17" s="3" t="inlineStr">
        <is>
          <t>Company exit equity = MAX(0, net) × multiple</t>
        </is>
      </c>
      <c r="C17" s="51">
        <f>MAX(0,C14)*C16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(net programme profit × the platform exit multiple) flows through the cap table; our proceeds = the GREATER of our 1× liquidation preference or our as-converted (diluted) share.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2">
        <f>'Inputs'!$C$13</f>
        <v/>
      </c>
    </row>
    <row r="5">
      <c r="A5" s="15" t="inlineStr">
        <is>
          <t>Our investment</t>
        </is>
      </c>
      <c r="B5" s="52">
        <f>'Inputs'!$C$14</f>
        <v/>
      </c>
    </row>
    <row r="6">
      <c r="A6" s="3" t="inlineStr">
        <is>
          <t>Post-money = pre-money + investment</t>
        </is>
      </c>
      <c r="B6" s="53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7">
        <f>B7*(1-'Inputs'!$C$15)*(1-'Inputs'!$C$16)</f>
        <v/>
      </c>
    </row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6">
        <f>'Scenarios'!$B$5*'Inputs'!$C$27*'Inputs'!$C$28</f>
        <v/>
      </c>
      <c r="C12" s="36">
        <f>'Scenarios'!$C$5*'Inputs'!$C$27*'Inputs'!$C$28</f>
        <v/>
      </c>
      <c r="D12" s="36">
        <f>'Scenarios'!$D$5*'Inputs'!$C$27*'Inputs'!$C$28</f>
        <v/>
      </c>
    </row>
    <row r="13">
      <c r="A13" s="15" t="inlineStr">
        <is>
          <t>RTB price multiplier</t>
        </is>
      </c>
      <c r="B13" s="43">
        <f>'Scenarios'!$B$6</f>
        <v/>
      </c>
      <c r="C13" s="43">
        <f>'Scenarios'!$C$6</f>
        <v/>
      </c>
      <c r="D13" s="43">
        <f>'Scenarios'!$D$6</f>
        <v/>
      </c>
    </row>
    <row r="14">
      <c r="A14" s="15" t="inlineStr">
        <is>
          <t>Dev cost multiplier</t>
        </is>
      </c>
      <c r="B14" s="43">
        <f>'Scenarios'!$B$7</f>
        <v/>
      </c>
      <c r="C14" s="43">
        <f>'Scenarios'!$C$7</f>
        <v/>
      </c>
      <c r="D14" s="43">
        <f>'Scenarios'!$D$7</f>
        <v/>
      </c>
    </row>
    <row r="15">
      <c r="A15" s="15" t="inlineStr">
        <is>
          <t>Dev cost per project</t>
        </is>
      </c>
      <c r="B15" s="44">
        <f>'Inputs'!$C$21*B14</f>
        <v/>
      </c>
      <c r="C15" s="44">
        <f>'Inputs'!$C$21*C14</f>
        <v/>
      </c>
      <c r="D15" s="44">
        <f>'Inputs'!$C$21*D14</f>
        <v/>
      </c>
    </row>
    <row r="16">
      <c r="A16" s="15" t="inlineStr">
        <is>
          <t>Projects started</t>
        </is>
      </c>
      <c r="B16" s="49">
        <f>IFERROR('Inputs'!$C$10/B12,0)</f>
        <v/>
      </c>
      <c r="C16" s="49">
        <f>IFERROR('Inputs'!$C$10/C12,0)</f>
        <v/>
      </c>
      <c r="D16" s="49">
        <f>IFERROR('Inputs'!$C$10/D12,0)</f>
        <v/>
      </c>
    </row>
    <row r="17">
      <c r="A17" s="15" t="inlineStr">
        <is>
          <t>Projects failed</t>
        </is>
      </c>
      <c r="B17" s="49">
        <f>B16-'Inputs'!$C$10</f>
        <v/>
      </c>
      <c r="C17" s="49">
        <f>C16-'Inputs'!$C$10</f>
        <v/>
      </c>
      <c r="D17" s="49">
        <f>D16-'Inputs'!$C$10</f>
        <v/>
      </c>
    </row>
    <row r="18">
      <c r="A18" s="15" t="inlineStr">
        <is>
          <t>Total dev cost</t>
        </is>
      </c>
      <c r="B18" s="50">
        <f>'Inputs'!$C$10*B15+B17*'Inputs'!$C$22*B15</f>
        <v/>
      </c>
      <c r="C18" s="50">
        <f>'Inputs'!$C$10*C15+C17*'Inputs'!$C$22*C15</f>
        <v/>
      </c>
      <c r="D18" s="50">
        <f>'Inputs'!$C$10*D15+D17*'Inputs'!$C$22*D15</f>
        <v/>
      </c>
    </row>
    <row r="19">
      <c r="A19" s="15" t="inlineStr">
        <is>
          <t>Gross proceeds</t>
        </is>
      </c>
      <c r="B19" s="50">
        <f>'Inputs'!$C$10*'Calc_Project_rNPV'!$M$11*B13</f>
        <v/>
      </c>
      <c r="C19" s="50">
        <f>'Inputs'!$C$10*'Calc_Project_rNPV'!$M$11*C13</f>
        <v/>
      </c>
      <c r="D19" s="50">
        <f>'Inputs'!$C$10*'Calc_Project_rNPV'!$M$11*D13</f>
        <v/>
      </c>
    </row>
    <row r="20">
      <c r="A20" s="15" t="inlineStr">
        <is>
          <t>Net programme profit</t>
        </is>
      </c>
      <c r="B20" s="50">
        <f>B19-B18</f>
        <v/>
      </c>
      <c r="C20" s="50">
        <f>C19-C18</f>
        <v/>
      </c>
      <c r="D20" s="50">
        <f>D19-D18</f>
        <v/>
      </c>
    </row>
    <row r="21">
      <c r="A21" s="15" t="inlineStr">
        <is>
          <t>Company exit equity = MAX(0,net)×mult</t>
        </is>
      </c>
      <c r="B21" s="50">
        <f>MAX(0,B20)*'Inputs'!$C$18</f>
        <v/>
      </c>
      <c r="C21" s="50">
        <f>MAX(0,C20)*'Inputs'!$C$18</f>
        <v/>
      </c>
      <c r="D21" s="50">
        <f>MAX(0,D20)*'Inputs'!$C$18</f>
        <v/>
      </c>
    </row>
    <row r="22">
      <c r="A22" s="15" t="inlineStr">
        <is>
          <t>As-converted (diluted × exit equity)</t>
        </is>
      </c>
      <c r="B22" s="44">
        <f>'Returns'!$B$8*B21</f>
        <v/>
      </c>
      <c r="C22" s="44">
        <f>'Returns'!$B$8*C21</f>
        <v/>
      </c>
      <c r="D22" s="44">
        <f>'Returns'!$B$8*D21</f>
        <v/>
      </c>
    </row>
    <row r="23">
      <c r="A23" s="15" t="inlineStr">
        <is>
          <t>Preference claim = MIN(liq×inv, exit eq)</t>
        </is>
      </c>
      <c r="B23" s="44">
        <f>MIN('Inputs'!$C$17*'Inputs'!$C$14,B21)</f>
        <v/>
      </c>
      <c r="C23" s="44">
        <f>MIN('Inputs'!$C$17*'Inputs'!$C$14,C21)</f>
        <v/>
      </c>
      <c r="D23" s="44">
        <f>MIN('Inputs'!$C$17*'Inputs'!$C$14,D21)</f>
        <v/>
      </c>
    </row>
    <row r="24">
      <c r="A24" s="3" t="inlineStr">
        <is>
          <t>Our proceeds = MAX(pref, as-converted)</t>
        </is>
      </c>
      <c r="B24" s="47">
        <f>MAX(B23,B22)</f>
        <v/>
      </c>
      <c r="C24" s="47">
        <f>MAX(C23,C22)</f>
        <v/>
      </c>
      <c r="D24" s="47">
        <f>MAX(D23,D22)</f>
        <v/>
      </c>
    </row>
    <row r="25">
      <c r="A25" s="3" t="inlineStr">
        <is>
          <t>MOIC = our proceeds ÷ our investment</t>
        </is>
      </c>
      <c r="B25" s="54">
        <f>IFERROR(B24/'Inputs'!$C$14,0)</f>
        <v/>
      </c>
      <c r="C25" s="54">
        <f>IFERROR(C24/'Inputs'!$C$14,0)</f>
        <v/>
      </c>
      <c r="D25" s="54">
        <f>IFERROR(D24/'Inputs'!$C$14,0)</f>
        <v/>
      </c>
    </row>
    <row r="26">
      <c r="A26" s="3" t="inlineStr">
        <is>
          <t>Equity IRR = MOIC^(1/exit yr) − 1</t>
        </is>
      </c>
      <c r="B26" s="18">
        <f>IFERROR(B25^(1/'Inputs'!$C$19)-1,-1)</f>
        <v/>
      </c>
      <c r="C26" s="18">
        <f>IFERROR(C25^(1/'Inputs'!$C$19)-1,-1)</f>
        <v/>
      </c>
      <c r="D26" s="18">
        <f>IFERROR(D25^(1/'Inputs'!$C$19)-1,-1)</f>
        <v/>
      </c>
    </row>
    <row r="28">
      <c r="A28" s="6" t="inlineStr">
        <is>
          <t>First-Chicago probability-weighted expected return</t>
        </is>
      </c>
    </row>
    <row r="29">
      <c r="A29" s="8" t="inlineStr"/>
      <c r="B29" s="8" t="inlineStr">
        <is>
          <t>Conservative</t>
        </is>
      </c>
      <c r="C29" s="8" t="inlineStr">
        <is>
          <t>Base</t>
        </is>
      </c>
      <c r="D29" s="8" t="inlineStr">
        <is>
          <t>Ideal</t>
        </is>
      </c>
      <c r="E29" s="8" t="inlineStr">
        <is>
          <t>Expected</t>
        </is>
      </c>
    </row>
    <row r="30">
      <c r="A30" s="15" t="inlineStr">
        <is>
          <t>Weight</t>
        </is>
      </c>
      <c r="B30" s="55">
        <f>'Scenarios'!$B$13</f>
        <v/>
      </c>
      <c r="C30" s="55">
        <f>'Scenarios'!$C$13</f>
        <v/>
      </c>
      <c r="D30" s="55">
        <f>'Scenarios'!$D$13</f>
        <v/>
      </c>
    </row>
    <row r="31">
      <c r="A31" s="15" t="inlineStr">
        <is>
          <t>Our proceeds</t>
        </is>
      </c>
      <c r="B31" s="56">
        <f>'Returns'!$B$24</f>
        <v/>
      </c>
      <c r="C31" s="56">
        <f>'Returns'!$C$24</f>
        <v/>
      </c>
      <c r="D31" s="56">
        <f>'Returns'!$D$24</f>
        <v/>
      </c>
      <c r="E31" s="47">
        <f>SUMPRODUCT('Scenarios'!$B$13:$D$13,B31:D31)</f>
        <v/>
      </c>
    </row>
    <row r="32">
      <c r="A32" s="3" t="inlineStr">
        <is>
          <t>Expected MOIC = exp proceeds ÷ investment</t>
        </is>
      </c>
      <c r="E32" s="54">
        <f>IFERROR(E31/'Inputs'!$C$14,0)</f>
        <v/>
      </c>
    </row>
    <row r="33">
      <c r="A33" s="3" t="inlineStr">
        <is>
          <t>Expected equity IRR = exp MOIC^(1/exit yr) − 1</t>
        </is>
      </c>
      <c r="E33" s="37">
        <f>IFERROR(E32^(1/'Inputs'!$C$19)-1,-1)</f>
        <v/>
      </c>
    </row>
    <row r="35">
      <c r="A35" s="6" t="inlineStr">
        <is>
          <t>Valuation range (per-pipeline asset value — cross-check)</t>
        </is>
      </c>
      <c r="C35" s="10" t="inlineStr">
        <is>
          <t>Representative 6-project pipeline (asset-level), NOT the company's whole exit equity value.</t>
        </is>
      </c>
    </row>
    <row r="36">
      <c r="A36" s="15" t="inlineStr">
        <is>
          <t>rNPV pipeline (Base)</t>
        </is>
      </c>
      <c r="C36" s="56">
        <f>'Calc_Project_rNPV'!$M$10</f>
        <v/>
      </c>
    </row>
    <row r="37">
      <c r="A37" s="15" t="inlineStr">
        <is>
          <t>$/MW benchmark (dev value)</t>
        </is>
      </c>
      <c r="C37" s="56">
        <f>'Calc_CrossChecks'!$C$9</f>
        <v/>
      </c>
    </row>
    <row r="38">
      <c r="A38" s="15" t="inlineStr">
        <is>
          <t>VC method (today value)</t>
        </is>
      </c>
      <c r="C38" s="56">
        <f>'Calc_CrossChecks'!$C$18</f>
        <v/>
      </c>
    </row>
    <row r="39">
      <c r="A39" s="3" t="inlineStr">
        <is>
          <t>Low</t>
        </is>
      </c>
      <c r="C39" s="47">
        <f>MIN(C36:C38)</f>
        <v/>
      </c>
    </row>
    <row r="40">
      <c r="A40" s="3" t="inlineStr">
        <is>
          <t>Midpoint</t>
        </is>
      </c>
      <c r="C40" s="48">
        <f>AVERAGE(C36:C38)</f>
        <v/>
      </c>
    </row>
    <row r="41">
      <c r="A41" s="3" t="inlineStr">
        <is>
          <t>High</t>
        </is>
      </c>
      <c r="C41" s="47">
        <f>MAX(C36:C38)</f>
        <v/>
      </c>
    </row>
    <row r="43">
      <c r="A43" s="6" t="inlineStr">
        <is>
          <t>Full cap table — who owns what (mechanical; ties to 100%)</t>
        </is>
      </c>
    </row>
    <row r="44">
      <c r="A44" s="8" t="inlineStr">
        <is>
          <t>Holder</t>
        </is>
      </c>
      <c r="B44" s="8" t="inlineStr">
        <is>
          <t>At entry %</t>
        </is>
      </c>
      <c r="C44" s="8" t="inlineStr">
        <is>
          <t>At exit (diluted) %</t>
        </is>
      </c>
    </row>
    <row r="45">
      <c r="A45" s="15" t="inlineStr">
        <is>
          <t>Founders / existing holders</t>
        </is>
      </c>
      <c r="B45" s="36">
        <f>1-'Returns'!$B$7</f>
        <v/>
      </c>
      <c r="C45" s="36">
        <f>(1-'Returns'!$B$7)*(1-'Inputs'!$C$15)*(1-'Inputs'!$C$16)</f>
        <v/>
      </c>
    </row>
    <row r="46">
      <c r="A46" s="3" t="inlineStr">
        <is>
          <t>Us (new investor)</t>
        </is>
      </c>
      <c r="B46" s="35">
        <f>'Returns'!$B$7</f>
        <v/>
      </c>
      <c r="C46" s="57">
        <f>'Returns'!$B$8</f>
        <v/>
      </c>
    </row>
    <row r="47">
      <c r="A47" s="15" t="inlineStr">
        <is>
          <t>Option pool (staff)</t>
        </is>
      </c>
      <c r="B47" s="36" t="n">
        <v>0</v>
      </c>
      <c r="C47" s="36">
        <f>'Inputs'!$C$15*(1-'Inputs'!$C$16)</f>
        <v/>
      </c>
    </row>
    <row r="48">
      <c r="A48" s="15" t="inlineStr">
        <is>
          <t>Future-round investors</t>
        </is>
      </c>
      <c r="B48" s="36" t="n">
        <v>0</v>
      </c>
      <c r="C48" s="35">
        <f>'Inputs'!$C$16</f>
        <v/>
      </c>
    </row>
    <row r="49">
      <c r="A49" s="3" t="inlineStr">
        <is>
          <t>Total (must = 100%)</t>
        </is>
      </c>
      <c r="B49" s="18">
        <f>SUM(B45:B48)</f>
        <v/>
      </c>
      <c r="C49" s="18">
        <f>SUM(C45:C48)</f>
        <v/>
      </c>
    </row>
    <row r="51">
      <c r="A51" s="6" t="inlineStr">
        <is>
          <t>Exit waterfall (Base) — full distribution of exit equity</t>
        </is>
      </c>
    </row>
    <row r="52">
      <c r="A52" s="15" t="inlineStr">
        <is>
          <t>Company exit equity (Base)</t>
        </is>
      </c>
      <c r="C52" s="56">
        <f>'Returns'!$C$21</f>
        <v/>
      </c>
    </row>
    <row r="53">
      <c r="A53" s="3" t="inlineStr">
        <is>
          <t>Our proceeds (1x pref / as-converted)</t>
        </is>
      </c>
      <c r="C53" s="56">
        <f>'Returns'!$C$24</f>
        <v/>
      </c>
    </row>
    <row r="54">
      <c r="A54" s="15" t="inlineStr">
        <is>
          <t>Other holders' proceeds (residual)</t>
        </is>
      </c>
      <c r="C54" s="44">
        <f>C52-C53</f>
        <v/>
      </c>
    </row>
    <row r="55">
      <c r="A55" s="3" t="inlineStr">
        <is>
          <t>Distributed (ours + others = exit equity)</t>
        </is>
      </c>
      <c r="C55" s="47">
        <f>C53+C54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7">
        <f>SUM('Calc_Project_rNPV'!$C$4:$C$9)</f>
        <v/>
      </c>
    </row>
    <row r="5">
      <c r="A5" s="15" t="inlineStr">
        <is>
          <t>Gross RTB asset value $m</t>
        </is>
      </c>
      <c r="C5" s="50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0">
        <f>'Inputs'!$C$21*'Scenarios'!$C$7*6</f>
        <v/>
      </c>
    </row>
    <row r="7">
      <c r="A7" s="15" t="inlineStr">
        <is>
          <t>Average years to sale</t>
        </is>
      </c>
      <c r="C7" s="49">
        <f>AVERAGE('Calc_Project_rNPV'!$D$4:$D$9)</f>
        <v/>
      </c>
    </row>
    <row r="8">
      <c r="A8" s="15" t="inlineStr">
        <is>
          <t>Flip success (Base, DA x conn x sale)</t>
        </is>
      </c>
      <c r="C8" s="36">
        <f>'Scenarios'!$C$5*'Inputs'!$C$27*'Inputs'!$C$28</f>
        <v/>
      </c>
    </row>
    <row r="9">
      <c r="A9" s="15" t="inlineStr">
        <is>
          <t>$/MW implied dev value $m</t>
        </is>
      </c>
      <c r="C9" s="47">
        <f>IFERROR((C5-C6)*C8/(1+'Inputs'!$C$7)^C7,0)</f>
        <v/>
      </c>
    </row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0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0">
        <f>C6</f>
        <v/>
      </c>
    </row>
    <row r="14">
      <c r="A14" s="15" t="inlineStr">
        <is>
          <t>Flip success (Base)</t>
        </is>
      </c>
      <c r="C14" s="35">
        <f>C8</f>
        <v/>
      </c>
    </row>
    <row r="15">
      <c r="A15" s="15" t="inlineStr">
        <is>
          <t>Exit equity value (expected) $m</t>
        </is>
      </c>
      <c r="C15" s="44">
        <f>C14*(C12-C13)</f>
        <v/>
      </c>
    </row>
    <row r="16">
      <c r="A16" s="15" t="inlineStr">
        <is>
          <t>VC target return</t>
        </is>
      </c>
      <c r="C16" s="35">
        <f>'Inputs'!$C$34</f>
        <v/>
      </c>
    </row>
    <row r="17">
      <c r="A17" s="15" t="inlineStr">
        <is>
          <t>Hold horizon (yrs)</t>
        </is>
      </c>
      <c r="C17" s="40">
        <f>'Inputs'!$C$11</f>
        <v/>
      </c>
    </row>
    <row r="18">
      <c r="A18" s="15" t="inlineStr">
        <is>
          <t>VC today value $m</t>
        </is>
      </c>
      <c r="C18" s="47">
        <f>IFERROR(C15/(1+C16)^C17,0)</f>
        <v/>
      </c>
    </row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8">
        <f>'Inputs'!$C$30</f>
        <v/>
      </c>
      <c r="C22" s="58">
        <f>'Inputs'!$C$24</f>
        <v/>
      </c>
      <c r="D22" s="36">
        <f>IFERROR(B22/C22,0)</f>
        <v/>
      </c>
    </row>
    <row r="23">
      <c r="A23" s="15" t="inlineStr">
        <is>
          <t>VIC</t>
        </is>
      </c>
      <c r="B23" s="58">
        <f>'Inputs'!$C$31</f>
        <v/>
      </c>
      <c r="C23" s="58">
        <f>'Inputs'!$C$24</f>
        <v/>
      </c>
      <c r="D23" s="36">
        <f>IFERROR(B23/C23,0)</f>
        <v/>
      </c>
    </row>
    <row r="24">
      <c r="A24" s="15" t="inlineStr">
        <is>
          <t>SA</t>
        </is>
      </c>
      <c r="B24" s="58">
        <f>'Inputs'!$C$32</f>
        <v/>
      </c>
      <c r="C24" s="58">
        <f>'Inputs'!$C$24</f>
        <v/>
      </c>
      <c r="D24" s="36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0" customWidth="1" min="8" max="8"/>
    <col width="10" customWidth="1" min="9" max="9"/>
    <col width="10" customWidth="1" min="10" max="10"/>
    <col width="3" customWidth="1" min="11" max="11"/>
    <col width="9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SENSITIVITY — OUR equity IRR: development approval × RTB price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Flip success = DA × grid connection × sale, so the funnel widens with the FULL gate chain. Each scenario flows through the company exit equity value, dilution and the 1× liquidation preference. Helper columns H–J (per DA) and the proceeds grid M–Q keep every formula short. AUD $m / %.</t>
        </is>
      </c>
    </row>
    <row r="4">
      <c r="A4" s="15" t="inlineStr">
        <is>
          <t>Conn × sale (flip adj)</t>
        </is>
      </c>
      <c r="B4" s="36">
        <f>'Inputs'!$C$27*'Inputs'!$C$28</f>
        <v/>
      </c>
    </row>
    <row r="5">
      <c r="A5" s="15" t="inlineStr">
        <is>
          <t>Diluted ownership</t>
        </is>
      </c>
      <c r="B5" s="35">
        <f>'Returns'!$B$8</f>
        <v/>
      </c>
    </row>
    <row r="6">
      <c r="A6" s="15" t="inlineStr">
        <is>
          <t>Platform exit multiple</t>
        </is>
      </c>
      <c r="B6" s="43">
        <f>'Inputs'!$C$18</f>
        <v/>
      </c>
    </row>
    <row r="7">
      <c r="A7" s="15" t="inlineStr">
        <is>
          <t>Preference cap (liq × investment) $m</t>
        </is>
      </c>
      <c r="B7" s="44">
        <f>'Inputs'!$C$17*'Inputs'!$C$14</f>
        <v/>
      </c>
    </row>
    <row r="8">
      <c r="A8" s="15" t="inlineStr">
        <is>
          <t>Our investment $m</t>
        </is>
      </c>
      <c r="B8" s="56">
        <f>'Inputs'!$C$14</f>
        <v/>
      </c>
    </row>
    <row r="9">
      <c r="A9" s="15" t="inlineStr">
        <is>
          <t>Exit year</t>
        </is>
      </c>
      <c r="B9" s="40">
        <f>'Inputs'!$C$19</f>
        <v/>
      </c>
    </row>
    <row r="10">
      <c r="B10" s="59" t="inlineStr">
        <is>
          <t>Price mult →</t>
        </is>
      </c>
      <c r="C10" s="32" t="n">
        <v>0.7</v>
      </c>
      <c r="D10" s="32" t="n">
        <v>0.85</v>
      </c>
      <c r="E10" s="32" t="n">
        <v>1</v>
      </c>
      <c r="F10" s="32" t="n">
        <v>1.15</v>
      </c>
      <c r="G10" s="32" t="n">
        <v>1.3</v>
      </c>
      <c r="M10" s="32" t="n">
        <v>0.7</v>
      </c>
      <c r="N10" s="32" t="n">
        <v>0.85</v>
      </c>
      <c r="O10" s="32" t="n">
        <v>1</v>
      </c>
      <c r="P10" s="32" t="n">
        <v>1.15</v>
      </c>
      <c r="Q10" s="32" t="n">
        <v>1.3</v>
      </c>
    </row>
    <row r="11">
      <c r="B11" s="59" t="inlineStr">
        <is>
          <t>Gross $m →</t>
        </is>
      </c>
      <c r="C11" s="60">
        <f>'Inputs'!$C$10*'Calc_Project_rNPV'!$M$11*C10</f>
        <v/>
      </c>
      <c r="D11" s="60">
        <f>'Inputs'!$C$10*'Calc_Project_rNPV'!$M$11*D10</f>
        <v/>
      </c>
      <c r="E11" s="60">
        <f>'Inputs'!$C$10*'Calc_Project_rNPV'!$M$11*E10</f>
        <v/>
      </c>
      <c r="F11" s="60">
        <f>'Inputs'!$C$10*'Calc_Project_rNPV'!$M$11*F10</f>
        <v/>
      </c>
      <c r="G11" s="60">
        <f>'Inputs'!$C$10*'Calc_Project_rNPV'!$M$11*G10</f>
        <v/>
      </c>
      <c r="M11" s="60">
        <f>'Inputs'!$C$10*'Calc_Project_rNPV'!$M$11*M10</f>
        <v/>
      </c>
      <c r="N11" s="60">
        <f>'Inputs'!$C$10*'Calc_Project_rNPV'!$M$11*N10</f>
        <v/>
      </c>
      <c r="O11" s="60">
        <f>'Inputs'!$C$10*'Calc_Project_rNPV'!$M$11*O10</f>
        <v/>
      </c>
      <c r="P11" s="60">
        <f>'Inputs'!$C$10*'Calc_Project_rNPV'!$M$11*P10</f>
        <v/>
      </c>
      <c r="Q11" s="60">
        <f>'Inputs'!$C$10*'Calc_Project_rNPV'!$M$11*Q10</f>
        <v/>
      </c>
    </row>
    <row r="12">
      <c r="B12" s="61" t="inlineStr">
        <is>
          <t>DA gate ↓</t>
        </is>
      </c>
      <c r="C12" s="61" t="inlineStr">
        <is>
          <t>IRR</t>
        </is>
      </c>
      <c r="D12" s="61" t="inlineStr">
        <is>
          <t>IRR</t>
        </is>
      </c>
      <c r="E12" s="61" t="inlineStr">
        <is>
          <t>IRR</t>
        </is>
      </c>
      <c r="F12" s="61" t="inlineStr">
        <is>
          <t>IRR</t>
        </is>
      </c>
      <c r="G12" s="61" t="inlineStr">
        <is>
          <t>IRR</t>
        </is>
      </c>
      <c r="H12" s="8" t="inlineStr">
        <is>
          <t>Flip succ</t>
        </is>
      </c>
      <c r="I12" s="8" t="inlineStr">
        <is>
          <t>Started</t>
        </is>
      </c>
      <c r="J12" s="8" t="inlineStr">
        <is>
          <t>Total dev</t>
        </is>
      </c>
      <c r="M12" s="8" t="inlineStr">
        <is>
          <t>Proceeds</t>
        </is>
      </c>
      <c r="N12" s="8" t="inlineStr">
        <is>
          <t>Proceeds</t>
        </is>
      </c>
      <c r="O12" s="8" t="inlineStr">
        <is>
          <t>Proceeds</t>
        </is>
      </c>
      <c r="P12" s="8" t="inlineStr">
        <is>
          <t>Proceeds</t>
        </is>
      </c>
      <c r="Q12" s="8" t="inlineStr">
        <is>
          <t>Proceeds</t>
        </is>
      </c>
    </row>
    <row r="13">
      <c r="B13" s="26" t="n">
        <v>0.4</v>
      </c>
      <c r="C13" s="36">
        <f>IFERROR((M13/$B$8)^(1/$B$9)-1,-1)</f>
        <v/>
      </c>
      <c r="D13" s="36">
        <f>IFERROR((N13/$B$8)^(1/$B$9)-1,-1)</f>
        <v/>
      </c>
      <c r="E13" s="36">
        <f>IFERROR((O13/$B$8)^(1/$B$9)-1,-1)</f>
        <v/>
      </c>
      <c r="F13" s="36">
        <f>IFERROR((P13/$B$8)^(1/$B$9)-1,-1)</f>
        <v/>
      </c>
      <c r="G13" s="36">
        <f>IFERROR((Q13/$B$8)^(1/$B$9)-1,-1)</f>
        <v/>
      </c>
      <c r="H13" s="36">
        <f>$B13*$B$4</f>
        <v/>
      </c>
      <c r="I13" s="49">
        <f>IFERROR('Inputs'!$C$10/H13,0)</f>
        <v/>
      </c>
      <c r="J13" s="50">
        <f>'Inputs'!$C$10*'Inputs'!$C$21+(I13-'Inputs'!$C$10)*'Inputs'!$C$22*'Inputs'!$C$21</f>
        <v/>
      </c>
      <c r="M13" s="44">
        <f>MAX(MIN($B$7,MAX(0,M$11-$J13)*$B$6),$B$5*MAX(0,M$11-$J13)*$B$6)</f>
        <v/>
      </c>
      <c r="N13" s="44">
        <f>MAX(MIN($B$7,MAX(0,N$11-$J13)*$B$6),$B$5*MAX(0,N$11-$J13)*$B$6)</f>
        <v/>
      </c>
      <c r="O13" s="44">
        <f>MAX(MIN($B$7,MAX(0,O$11-$J13)*$B$6),$B$5*MAX(0,O$11-$J13)*$B$6)</f>
        <v/>
      </c>
      <c r="P13" s="44">
        <f>MAX(MIN($B$7,MAX(0,P$11-$J13)*$B$6),$B$5*MAX(0,P$11-$J13)*$B$6)</f>
        <v/>
      </c>
      <c r="Q13" s="44">
        <f>MAX(MIN($B$7,MAX(0,Q$11-$J13)*$B$6),$B$5*MAX(0,Q$11-$J13)*$B$6)</f>
        <v/>
      </c>
    </row>
    <row r="14">
      <c r="B14" s="26" t="n">
        <v>0.55</v>
      </c>
      <c r="C14" s="36">
        <f>IFERROR((M14/$B$8)^(1/$B$9)-1,-1)</f>
        <v/>
      </c>
      <c r="D14" s="36">
        <f>IFERROR((N14/$B$8)^(1/$B$9)-1,-1)</f>
        <v/>
      </c>
      <c r="E14" s="36">
        <f>IFERROR((O14/$B$8)^(1/$B$9)-1,-1)</f>
        <v/>
      </c>
      <c r="F14" s="36">
        <f>IFERROR((P14/$B$8)^(1/$B$9)-1,-1)</f>
        <v/>
      </c>
      <c r="G14" s="36">
        <f>IFERROR((Q14/$B$8)^(1/$B$9)-1,-1)</f>
        <v/>
      </c>
      <c r="H14" s="36">
        <f>$B14*$B$4</f>
        <v/>
      </c>
      <c r="I14" s="49">
        <f>IFERROR('Inputs'!$C$10/H14,0)</f>
        <v/>
      </c>
      <c r="J14" s="50">
        <f>'Inputs'!$C$10*'Inputs'!$C$21+(I14-'Inputs'!$C$10)*'Inputs'!$C$22*'Inputs'!$C$21</f>
        <v/>
      </c>
      <c r="M14" s="44">
        <f>MAX(MIN($B$7,MAX(0,M$11-$J14)*$B$6),$B$5*MAX(0,M$11-$J14)*$B$6)</f>
        <v/>
      </c>
      <c r="N14" s="44">
        <f>MAX(MIN($B$7,MAX(0,N$11-$J14)*$B$6),$B$5*MAX(0,N$11-$J14)*$B$6)</f>
        <v/>
      </c>
      <c r="O14" s="44">
        <f>MAX(MIN($B$7,MAX(0,O$11-$J14)*$B$6),$B$5*MAX(0,O$11-$J14)*$B$6)</f>
        <v/>
      </c>
      <c r="P14" s="44">
        <f>MAX(MIN($B$7,MAX(0,P$11-$J14)*$B$6),$B$5*MAX(0,P$11-$J14)*$B$6)</f>
        <v/>
      </c>
      <c r="Q14" s="44">
        <f>MAX(MIN($B$7,MAX(0,Q$11-$J14)*$B$6),$B$5*MAX(0,Q$11-$J14)*$B$6)</f>
        <v/>
      </c>
    </row>
    <row r="15">
      <c r="B15" s="26" t="n">
        <v>0.65</v>
      </c>
      <c r="C15" s="36">
        <f>IFERROR((M15/$B$8)^(1/$B$9)-1,-1)</f>
        <v/>
      </c>
      <c r="D15" s="36">
        <f>IFERROR((N15/$B$8)^(1/$B$9)-1,-1)</f>
        <v/>
      </c>
      <c r="E15" s="36">
        <f>IFERROR((O15/$B$8)^(1/$B$9)-1,-1)</f>
        <v/>
      </c>
      <c r="F15" s="36">
        <f>IFERROR((P15/$B$8)^(1/$B$9)-1,-1)</f>
        <v/>
      </c>
      <c r="G15" s="36">
        <f>IFERROR((Q15/$B$8)^(1/$B$9)-1,-1)</f>
        <v/>
      </c>
      <c r="H15" s="36">
        <f>$B15*$B$4</f>
        <v/>
      </c>
      <c r="I15" s="49">
        <f>IFERROR('Inputs'!$C$10/H15,0)</f>
        <v/>
      </c>
      <c r="J15" s="50">
        <f>'Inputs'!$C$10*'Inputs'!$C$21+(I15-'Inputs'!$C$10)*'Inputs'!$C$22*'Inputs'!$C$21</f>
        <v/>
      </c>
      <c r="M15" s="44">
        <f>MAX(MIN($B$7,MAX(0,M$11-$J15)*$B$6),$B$5*MAX(0,M$11-$J15)*$B$6)</f>
        <v/>
      </c>
      <c r="N15" s="44">
        <f>MAX(MIN($B$7,MAX(0,N$11-$J15)*$B$6),$B$5*MAX(0,N$11-$J15)*$B$6)</f>
        <v/>
      </c>
      <c r="O15" s="44">
        <f>MAX(MIN($B$7,MAX(0,O$11-$J15)*$B$6),$B$5*MAX(0,O$11-$J15)*$B$6)</f>
        <v/>
      </c>
      <c r="P15" s="44">
        <f>MAX(MIN($B$7,MAX(0,P$11-$J15)*$B$6),$B$5*MAX(0,P$11-$J15)*$B$6)</f>
        <v/>
      </c>
      <c r="Q15" s="44">
        <f>MAX(MIN($B$7,MAX(0,Q$11-$J15)*$B$6),$B$5*MAX(0,Q$11-$J15)*$B$6)</f>
        <v/>
      </c>
    </row>
    <row r="16">
      <c r="B16" s="26" t="n">
        <v>0.8</v>
      </c>
      <c r="C16" s="36">
        <f>IFERROR((M16/$B$8)^(1/$B$9)-1,-1)</f>
        <v/>
      </c>
      <c r="D16" s="36">
        <f>IFERROR((N16/$B$8)^(1/$B$9)-1,-1)</f>
        <v/>
      </c>
      <c r="E16" s="36">
        <f>IFERROR((O16/$B$8)^(1/$B$9)-1,-1)</f>
        <v/>
      </c>
      <c r="F16" s="36">
        <f>IFERROR((P16/$B$8)^(1/$B$9)-1,-1)</f>
        <v/>
      </c>
      <c r="G16" s="36">
        <f>IFERROR((Q16/$B$8)^(1/$B$9)-1,-1)</f>
        <v/>
      </c>
      <c r="H16" s="36">
        <f>$B16*$B$4</f>
        <v/>
      </c>
      <c r="I16" s="49">
        <f>IFERROR('Inputs'!$C$10/H16,0)</f>
        <v/>
      </c>
      <c r="J16" s="50">
        <f>'Inputs'!$C$10*'Inputs'!$C$21+(I16-'Inputs'!$C$10)*'Inputs'!$C$22*'Inputs'!$C$21</f>
        <v/>
      </c>
      <c r="M16" s="44">
        <f>MAX(MIN($B$7,MAX(0,M$11-$J16)*$B$6),$B$5*MAX(0,M$11-$J16)*$B$6)</f>
        <v/>
      </c>
      <c r="N16" s="44">
        <f>MAX(MIN($B$7,MAX(0,N$11-$J16)*$B$6),$B$5*MAX(0,N$11-$J16)*$B$6)</f>
        <v/>
      </c>
      <c r="O16" s="44">
        <f>MAX(MIN($B$7,MAX(0,O$11-$J16)*$B$6),$B$5*MAX(0,O$11-$J16)*$B$6)</f>
        <v/>
      </c>
      <c r="P16" s="44">
        <f>MAX(MIN($B$7,MAX(0,P$11-$J16)*$B$6),$B$5*MAX(0,P$11-$J16)*$B$6)</f>
        <v/>
      </c>
      <c r="Q16" s="44">
        <f>MAX(MIN($B$7,MAX(0,Q$11-$J16)*$B$6),$B$5*MAX(0,Q$11-$J16)*$B$6)</f>
        <v/>
      </c>
    </row>
    <row r="17">
      <c r="B17" s="26" t="n">
        <v>0.95</v>
      </c>
      <c r="C17" s="36">
        <f>IFERROR((M17/$B$8)^(1/$B$9)-1,-1)</f>
        <v/>
      </c>
      <c r="D17" s="36">
        <f>IFERROR((N17/$B$8)^(1/$B$9)-1,-1)</f>
        <v/>
      </c>
      <c r="E17" s="36">
        <f>IFERROR((O17/$B$8)^(1/$B$9)-1,-1)</f>
        <v/>
      </c>
      <c r="F17" s="36">
        <f>IFERROR((P17/$B$8)^(1/$B$9)-1,-1)</f>
        <v/>
      </c>
      <c r="G17" s="36">
        <f>IFERROR((Q17/$B$8)^(1/$B$9)-1,-1)</f>
        <v/>
      </c>
      <c r="H17" s="36">
        <f>$B17*$B$4</f>
        <v/>
      </c>
      <c r="I17" s="49">
        <f>IFERROR('Inputs'!$C$10/H17,0)</f>
        <v/>
      </c>
      <c r="J17" s="50">
        <f>'Inputs'!$C$10*'Inputs'!$C$21+(I17-'Inputs'!$C$10)*'Inputs'!$C$22*'Inputs'!$C$21</f>
        <v/>
      </c>
      <c r="M17" s="44">
        <f>MAX(MIN($B$7,MAX(0,M$11-$J17)*$B$6),$B$5*MAX(0,M$11-$J17)*$B$6)</f>
        <v/>
      </c>
      <c r="N17" s="44">
        <f>MAX(MIN($B$7,MAX(0,N$11-$J17)*$B$6),$B$5*MAX(0,N$11-$J17)*$B$6)</f>
        <v/>
      </c>
      <c r="O17" s="44">
        <f>MAX(MIN($B$7,MAX(0,O$11-$J17)*$B$6),$B$5*MAX(0,O$11-$J17)*$B$6)</f>
        <v/>
      </c>
      <c r="P17" s="44">
        <f>MAX(MIN($B$7,MAX(0,P$11-$J17)*$B$6),$B$5*MAX(0,P$11-$J17)*$B$6)</f>
        <v/>
      </c>
      <c r="Q17" s="44">
        <f>MAX(MIN($B$7,MAX(0,Q$11-$J17)*$B$6),$B$5*MAX(0,Q$11-$J17)*$B$6)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38">
        <f>IF(AND(MIN('Inputs'!$C$26:$C$28)&gt;=0,MAX('Inputs'!$C$26:$C$28)&lt;=1),"OK","ERROR")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38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38">
        <f>IF(MIN('Inputs'!$D$40:$D$45)&gt;0,"OK","ERROR")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38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38">
        <f>IF('Inputs'!$C$21&gt;0,"OK","ERROR")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38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38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38">
        <f>IF(ABS('Returns'!$B$6-('Inputs'!$C$13+'Inputs'!$C$14))&lt;0.0001,"OK","ERROR")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38">
        <f>IF(ABS('Returns'!$B$7-'Inputs'!$C$14/'Returns'!$B$6)&lt;0.0001,"OK","ERROR")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38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38">
        <f>IF(AND('Returns'!$B$25&lt;='Returns'!$C$25,'Returns'!$C$25&lt;='Returns'!$D$25),"OK","ERROR")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38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38">
        <f>IF(AND(G16&gt;=E16-0.0001,G16&lt;=F16+0.0001),"OK","ERROR")</f>
        <v/>
      </c>
      <c r="C16" s="10" t="inlineStr">
        <is>
          <t>Weighting sanity (helpers E:G)</t>
        </is>
      </c>
      <c r="E16" s="62">
        <f>MIN('Returns'!$B$26:$D$26)</f>
        <v/>
      </c>
      <c r="F16" s="62">
        <f>MAX('Returns'!$B$26:$D$26)</f>
        <v/>
      </c>
      <c r="G16" s="55">
        <f>'Returns'!$E$33</f>
        <v/>
      </c>
    </row>
    <row r="17">
      <c r="A17" s="15" t="inlineStr">
        <is>
          <t>Our proceeds non-negative (all scenarios)</t>
        </is>
      </c>
      <c r="B17" s="38">
        <f>IF(MIN('Returns'!$B$24:$D$24)&gt;=0,"OK","ERROR")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38">
        <f>IF(SUM(E18:G18)=0,"OK","ERROR")</f>
        <v/>
      </c>
      <c r="C18" s="10" t="inlineStr">
        <is>
          <t>#REF!/#DIV0! scan</t>
        </is>
      </c>
      <c r="E18" s="38">
        <f>SUMPRODUCT(--ISERROR('Calc_Project_rNPV'!$M$4:$M$10))</f>
        <v/>
      </c>
      <c r="F18" s="38">
        <f>SUMPRODUCT(--ISERROR('Returns'!$B$26:$D$26))</f>
        <v/>
      </c>
      <c r="G18" s="38">
        <f>SUMPRODUCT(--ISERROR('Sensitivity'!$C$13:$G$17))</f>
        <v/>
      </c>
    </row>
    <row r="19">
      <c r="A19" s="15" t="inlineStr">
        <is>
          <t>Cap table ties (ownership sums to 100%)</t>
        </is>
      </c>
      <c r="B19" s="38">
        <f>IF(AND(ABS('Returns'!$B$49-1)&lt;0.001,ABS('Returns'!$C$49-1)&lt;0.001),"OK","ERROR")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38">
        <f>IF(ABS('Returns'!$C$55-'Returns'!$C$52)&lt;0.001,"OK","ERROR")</f>
        <v/>
      </c>
      <c r="C20" s="10" t="inlineStr">
        <is>
          <t>VC waterfall integrity</t>
        </is>
      </c>
    </row>
    <row r="22">
      <c r="A22" s="3" t="inlineStr">
        <is>
          <t>MASTER CHECK</t>
        </is>
      </c>
      <c r="B22" s="63">
        <f>IF(COUNTIF(B4:B20,"ERROR")=0,"OK","ERROR")</f>
        <v/>
      </c>
    </row>
  </sheetData>
  <conditionalFormatting sqref="B4:B22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4">
        <f>'Checks'!$B$22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4">
        <f>'Returns'!$E$33</f>
        <v/>
      </c>
      <c r="D7" s="15" t="inlineStr">
        <is>
          <t>Post-money valuation $m</t>
        </is>
      </c>
      <c r="E7" s="52">
        <f>'Returns'!$B$6</f>
        <v/>
      </c>
    </row>
    <row r="8">
      <c r="A8" s="15" t="inlineStr">
        <is>
          <t>Expected MOIC</t>
        </is>
      </c>
      <c r="B8" s="65">
        <f>'Returns'!$E$32</f>
        <v/>
      </c>
      <c r="D8" s="15" t="inlineStr">
        <is>
          <t>Ownership at entry</t>
        </is>
      </c>
      <c r="E8" s="35">
        <f>'Returns'!$B$7</f>
        <v/>
      </c>
    </row>
    <row r="9">
      <c r="D9" s="15" t="inlineStr">
        <is>
          <t>Ownership at exit (diluted)</t>
        </is>
      </c>
      <c r="E9" s="35">
        <f>'Returns'!$B$8</f>
        <v/>
      </c>
    </row>
    <row r="10">
      <c r="D10" s="15" t="inlineStr">
        <is>
          <t>Liquidation preference (x)</t>
        </is>
      </c>
      <c r="E10" s="65">
        <f>'Inputs'!$C$17</f>
        <v/>
      </c>
    </row>
    <row r="11">
      <c r="D11" s="15" t="inlineStr">
        <is>
          <t>Exit year</t>
        </is>
      </c>
      <c r="E11" s="40">
        <f>'Inputs'!$C$19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66" t="inlineStr">
        <is>
          <t>Programme capital $m</t>
        </is>
      </c>
      <c r="E14" s="52">
        <f>'Inputs'!$C$9</f>
        <v/>
      </c>
    </row>
    <row r="15">
      <c r="A15" s="15" t="inlineStr">
        <is>
          <t>Conservative</t>
        </is>
      </c>
      <c r="B15" s="36">
        <f>'Scenarios'!$B$5*'Inputs'!$C$27*'Inputs'!$C$28</f>
        <v/>
      </c>
      <c r="C15" s="35">
        <f>'Returns'!$B$26</f>
        <v/>
      </c>
      <c r="D15" s="67" t="inlineStr">
        <is>
          <t>Projects target</t>
        </is>
      </c>
      <c r="E15" s="40">
        <f>'Inputs'!$C$10</f>
        <v/>
      </c>
    </row>
    <row r="16">
      <c r="A16" s="15" t="inlineStr">
        <is>
          <t>Base</t>
        </is>
      </c>
      <c r="B16" s="36">
        <f>'Scenarios'!$C$5*'Inputs'!$C$27*'Inputs'!$C$28</f>
        <v/>
      </c>
      <c r="C16" s="35">
        <f>'Returns'!$C$26</f>
        <v/>
      </c>
      <c r="D16" s="67" t="inlineStr">
        <is>
          <t>Manager headline DA gate (Base)</t>
        </is>
      </c>
      <c r="E16" s="35">
        <f>'Scenarios'!$C$5</f>
        <v/>
      </c>
    </row>
    <row r="17">
      <c r="A17" s="15" t="inlineStr">
        <is>
          <t>Ideal</t>
        </is>
      </c>
      <c r="B17" s="36">
        <f>'Scenarios'!$D$5*'Inputs'!$C$27*'Inputs'!$C$28</f>
        <v/>
      </c>
      <c r="C17" s="35">
        <f>'Returns'!$D$26</f>
        <v/>
      </c>
      <c r="D17" s="67" t="inlineStr">
        <is>
          <t>True flip success (Base, DAxconnxsale)</t>
        </is>
      </c>
      <c r="E17" s="35">
        <f>'Calc_Survival'!$C$13</f>
        <v/>
      </c>
    </row>
    <row r="18">
      <c r="D18" s="15" t="inlineStr">
        <is>
          <t>Independent flip success (benchmark)</t>
        </is>
      </c>
      <c r="E18" s="35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connection success rate &amp; duration (benchmark)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Net programme profit</t>
        </is>
      </c>
      <c r="D20" s="14" t="inlineStr">
        <is>
          <t>The company's gross RTB proceeds minus its total development cost across the programme.</t>
        </is>
      </c>
    </row>
    <row r="21">
      <c r="A21" s="3" t="inlineStr">
        <is>
          <t>Pre-money / post-money</t>
        </is>
      </c>
      <c r="D21" s="14" t="inlineStr">
        <is>
          <t>Pre-money = the company's agreed value before our money goes in; post-money = pre-money + our investment.</t>
        </is>
      </c>
    </row>
    <row r="22">
      <c r="A22" s="3" t="inlineStr">
        <is>
          <t>Ownership %</t>
        </is>
      </c>
      <c r="D22" s="14" t="inlineStr">
        <is>
          <t>Our share of the company = our investment ÷ post-money valuation.</t>
        </is>
      </c>
    </row>
    <row r="23">
      <c r="A23" s="3" t="inlineStr">
        <is>
          <t>Dilution</t>
        </is>
      </c>
      <c r="D23" s="14" t="inlineStr">
        <is>
          <t>The fall in our ownership % when new shares are issued — here a staff option pool and future funding rounds.</t>
        </is>
      </c>
    </row>
    <row r="24">
      <c r="A24" s="3" t="inlineStr">
        <is>
          <t>Cap table</t>
        </is>
      </c>
      <c r="D24" s="14" t="inlineStr">
        <is>
          <t>The schedule of who owns what % of the company; we run our stake through it to get our exit proceeds.</t>
        </is>
      </c>
    </row>
    <row r="25">
      <c r="A25" s="3" t="inlineStr">
        <is>
          <t>Liquidation preference</t>
        </is>
      </c>
      <c r="D25" s="14" t="inlineStr">
        <is>
          <t>A preferred right to get our money back (1x) before ordinary holders at exit; 1x non-participating means we take the GREATER of that or our as-converted share.</t>
        </is>
      </c>
    </row>
    <row r="26">
      <c r="A26" s="3" t="inlineStr">
        <is>
          <t>MOIC / equity IRR</t>
        </is>
      </c>
      <c r="D26" s="14" t="inlineStr">
        <is>
          <t>Multiple on OUR investment; annualised return on our shares (MOIC^(1/exit year) − 1; a total loss is −100%).</t>
        </is>
      </c>
    </row>
    <row r="27">
      <c r="A27" s="3" t="inlineStr">
        <is>
          <t>First Chicago</t>
        </is>
      </c>
      <c r="D27" s="14" t="inlineStr">
        <is>
          <t>Probability-weight the scenarios' proceeds into a single expected return on our shares.</t>
        </is>
      </c>
    </row>
    <row r="28">
      <c r="A28" s="3" t="inlineStr">
        <is>
          <t>Develop-and-flip</t>
        </is>
      </c>
      <c r="D28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2026-06-26T05:18:32Z</dcterms:created>
  <dcterms:modified xmlns:dcterms="http://purl.org/dc/terms/" xmlns:xsi="http://www.w3.org/2001/XMLSchema-instance" xsi:type="dcterms:W3CDTF">2026-06-26T05:18:33Z</dcterms:modified>
</cp:coreProperties>
</file>