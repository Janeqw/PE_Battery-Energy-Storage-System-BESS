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Contents" sheetId="2" state="visible" r:id="rId2"/>
    <sheet xmlns:r="http://schemas.openxmlformats.org/officeDocument/2006/relationships" name="Change Log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Timeline" sheetId="5" state="visible" r:id="rId5"/>
    <sheet xmlns:r="http://schemas.openxmlformats.org/officeDocument/2006/relationships" name="Scenarios" sheetId="6" state="visible" r:id="rId6"/>
    <sheet xmlns:r="http://schemas.openxmlformats.org/officeDocument/2006/relationships" name="Calc_Survival" sheetId="7" state="visible" r:id="rId7"/>
    <sheet xmlns:r="http://schemas.openxmlformats.org/officeDocument/2006/relationships" name="Calc_Project_rNPV" sheetId="8" state="visible" r:id="rId8"/>
    <sheet xmlns:r="http://schemas.openxmlformats.org/officeDocument/2006/relationships" name="Calc_Company" sheetId="9" state="visible" r:id="rId9"/>
    <sheet xmlns:r="http://schemas.openxmlformats.org/officeDocument/2006/relationships" name="Returns" sheetId="10" state="visible" r:id="rId10"/>
    <sheet xmlns:r="http://schemas.openxmlformats.org/officeDocument/2006/relationships" name="Calc_CrossChecks" sheetId="11" state="visible" r:id="rId11"/>
    <sheet xmlns:r="http://schemas.openxmlformats.org/officeDocument/2006/relationships" name="Sensitivity" sheetId="12" state="visible" r:id="rId12"/>
    <sheet xmlns:r="http://schemas.openxmlformats.org/officeDocument/2006/relationships" name="Checks" sheetId="13" state="visible" r:id="rId13"/>
    <sheet xmlns:r="http://schemas.openxmlformats.org/officeDocument/2006/relationships" name="Dashboard" sheetId="14" state="visible" r:id="rId14"/>
    <sheet xmlns:r="http://schemas.openxmlformats.org/officeDocument/2006/relationships" name="Sources &amp; Glossary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;($#,##0.0);&quot;–&quot;"/>
    <numFmt numFmtId="166" formatCode="0.00&quot;x&quot;"/>
    <numFmt numFmtId="167" formatCode="$#,##0.00;($#,##0.00);&quot;–&quot;"/>
    <numFmt numFmtId="168" formatCode="$#,##0.000"/>
    <numFmt numFmtId="169" formatCode="#,##0.0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color rgb="00008000"/>
      <sz val="10"/>
    </font>
    <font>
      <name val="Arial"/>
      <b val="1"/>
      <color rgb="00008000"/>
      <sz val="10"/>
    </font>
    <font>
      <name val="Arial"/>
      <i val="1"/>
      <color rgb="00FF0000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pivotButton="0" quotePrefix="0" xfId="0"/>
    <xf numFmtId="0" fontId="4" fillId="3" borderId="0" pivotButton="0" quotePrefix="0" xfId="0"/>
    <xf numFmtId="0" fontId="10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top" wrapText="1"/>
    </xf>
    <xf numFmtId="0" fontId="5" fillId="0" borderId="0" applyAlignment="1" pivotButton="0" quotePrefix="0" xfId="0">
      <alignment horizontal="center" vertical="top"/>
    </xf>
    <xf numFmtId="0" fontId="2" fillId="0" borderId="0" pivotButton="0" quotePrefix="0" xfId="0"/>
    <xf numFmtId="0" fontId="6" fillId="4" borderId="0" applyAlignment="1" pivotButton="0" quotePrefix="0" xfId="0">
      <alignment horizontal="center" vertical="top"/>
    </xf>
    <xf numFmtId="0" fontId="6" fillId="4" borderId="0" pivotButton="0" quotePrefix="0" xfId="0"/>
    <xf numFmtId="0" fontId="6" fillId="4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pivotButton="0" quotePrefix="0" xfId="0"/>
    <xf numFmtId="164" fontId="6" fillId="4" borderId="1" pivotButton="0" quotePrefix="0" xfId="0"/>
    <xf numFmtId="0" fontId="2" fillId="0" borderId="0" applyAlignment="1" pivotButton="0" quotePrefix="0" xfId="0">
      <alignment horizontal="center" vertical="top"/>
    </xf>
    <xf numFmtId="164" fontId="7" fillId="0" borderId="1" pivotButton="0" quotePrefix="0" xfId="0"/>
    <xf numFmtId="165" fontId="6" fillId="4" borderId="1" pivotButton="0" quotePrefix="0" xfId="0"/>
    <xf numFmtId="3" fontId="6" fillId="4" borderId="1" pivotButton="0" quotePrefix="0" xfId="0"/>
    <xf numFmtId="166" fontId="6" fillId="4" borderId="1" pivotButton="0" quotePrefix="0" xfId="0"/>
    <xf numFmtId="167" fontId="6" fillId="4" borderId="1" pivotButton="0" quotePrefix="0" xfId="0"/>
    <xf numFmtId="168" fontId="6" fillId="4" borderId="1" pivotButton="0" quotePrefix="0" xfId="0"/>
    <xf numFmtId="169" fontId="6" fillId="4" borderId="1" pivotButton="0" quotePrefix="0" xfId="0"/>
    <xf numFmtId="164" fontId="6" fillId="4" borderId="1" applyAlignment="1" pivotButton="0" quotePrefix="0" xfId="0">
      <alignment horizontal="center" vertical="top"/>
    </xf>
    <xf numFmtId="3" fontId="5" fillId="0" borderId="1" pivotButton="0" quotePrefix="0" xfId="0"/>
    <xf numFmtId="2" fontId="6" fillId="4" borderId="1" pivotButton="0" quotePrefix="0" xfId="0"/>
    <xf numFmtId="2" fontId="6" fillId="4" borderId="1" applyAlignment="1" pivotButton="0" quotePrefix="0" xfId="0">
      <alignment horizontal="center" vertical="top"/>
    </xf>
    <xf numFmtId="3" fontId="5" fillId="0" borderId="0" applyAlignment="1" pivotButton="0" quotePrefix="0" xfId="0">
      <alignment horizontal="center" vertical="top"/>
    </xf>
    <xf numFmtId="1" fontId="5" fillId="0" borderId="0" applyAlignment="1" pivotButton="0" quotePrefix="0" xfId="0">
      <alignment horizontal="center" vertical="top"/>
    </xf>
    <xf numFmtId="170" fontId="5" fillId="0" borderId="0" applyAlignment="1" pivotButton="0" quotePrefix="0" xfId="0">
      <alignment horizontal="center" vertical="top"/>
    </xf>
    <xf numFmtId="3" fontId="6" fillId="4" borderId="1" applyAlignment="1" pivotButton="0" quotePrefix="0" xfId="0">
      <alignment horizontal="center" vertical="top"/>
    </xf>
    <xf numFmtId="164" fontId="8" fillId="0" borderId="1" applyAlignment="1" pivotButton="0" quotePrefix="0" xfId="0">
      <alignment horizontal="center" vertical="top"/>
    </xf>
    <xf numFmtId="2" fontId="8" fillId="0" borderId="1" applyAlignment="1" pivotButton="0" quotePrefix="0" xfId="0">
      <alignment horizontal="center" vertical="top"/>
    </xf>
    <xf numFmtId="2" fontId="7" fillId="0" borderId="1" pivotButton="0" quotePrefix="0" xfId="0"/>
    <xf numFmtId="164" fontId="9" fillId="0" borderId="1" pivotButton="0" quotePrefix="0" xfId="0"/>
    <xf numFmtId="164" fontId="8" fillId="0" borderId="1" pivotButton="0" quotePrefix="0" xfId="0"/>
    <xf numFmtId="164" fontId="5" fillId="0" borderId="1" pivotButton="0" quotePrefix="0" xfId="0"/>
    <xf numFmtId="164" fontId="7" fillId="3" borderId="1" pivotButton="0" quotePrefix="0" xfId="0"/>
    <xf numFmtId="0" fontId="5" fillId="0" borderId="1" applyAlignment="1" pivotButton="0" quotePrefix="0" xfId="0">
      <alignment horizontal="center" vertical="top"/>
    </xf>
    <xf numFmtId="0" fontId="8" fillId="0" borderId="0" applyAlignment="1" pivotButton="0" quotePrefix="0" xfId="0">
      <alignment horizontal="center" vertical="top"/>
    </xf>
    <xf numFmtId="3" fontId="8" fillId="0" borderId="1" pivotButton="0" quotePrefix="0" xfId="0"/>
    <xf numFmtId="169" fontId="8" fillId="0" borderId="1" pivotButton="0" quotePrefix="0" xfId="0"/>
    <xf numFmtId="168" fontId="5" fillId="0" borderId="1" pivotButton="0" quotePrefix="0" xfId="0"/>
    <xf numFmtId="2" fontId="8" fillId="0" borderId="1" pivotButton="0" quotePrefix="0" xfId="0"/>
    <xf numFmtId="167" fontId="5" fillId="0" borderId="1" pivotButton="0" quotePrefix="0" xfId="0"/>
    <xf numFmtId="170" fontId="5" fillId="0" borderId="1" pivotButton="0" quotePrefix="0" xfId="0"/>
    <xf numFmtId="3" fontId="7" fillId="0" borderId="1" pivotButton="0" quotePrefix="0" xfId="0"/>
    <xf numFmtId="167" fontId="7" fillId="0" borderId="1" pivotButton="0" quotePrefix="0" xfId="0"/>
    <xf numFmtId="167" fontId="7" fillId="3" borderId="1" pivotButton="0" quotePrefix="0" xfId="0"/>
    <xf numFmtId="169" fontId="5" fillId="0" borderId="1" pivotButton="0" quotePrefix="0" xfId="0"/>
    <xf numFmtId="165" fontId="5" fillId="0" borderId="1" pivotButton="0" quotePrefix="0" xfId="0"/>
    <xf numFmtId="165" fontId="8" fillId="0" borderId="1" pivotButton="0" quotePrefix="0" xfId="0"/>
    <xf numFmtId="165" fontId="7" fillId="3" borderId="1" pivotButton="0" quotePrefix="0" xfId="0"/>
    <xf numFmtId="165" fontId="7" fillId="0" borderId="1" pivotButton="0" quotePrefix="0" xfId="0"/>
    <xf numFmtId="166" fontId="7" fillId="0" borderId="1" pivotButton="0" quotePrefix="0" xfId="0"/>
    <xf numFmtId="167" fontId="8" fillId="0" borderId="1" pivotButton="0" quotePrefix="0" xfId="0"/>
    <xf numFmtId="164" fontId="8" fillId="3" borderId="1" pivotButton="0" quotePrefix="0" xfId="0"/>
    <xf numFmtId="168" fontId="8" fillId="0" borderId="1" pivotButton="0" quotePrefix="0" xfId="0"/>
    <xf numFmtId="170" fontId="8" fillId="0" borderId="1" pivotButton="0" quotePrefix="0" xfId="0"/>
    <xf numFmtId="0" fontId="7" fillId="0" borderId="0" applyAlignment="1" pivotButton="0" quotePrefix="0" xfId="0">
      <alignment horizontal="right" vertical="top"/>
    </xf>
    <xf numFmtId="165" fontId="5" fillId="0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/>
    </xf>
    <xf numFmtId="164" fontId="5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/>
    </xf>
    <xf numFmtId="0" fontId="10" fillId="0" borderId="0" pivotButton="0" quotePrefix="0" xfId="0"/>
    <xf numFmtId="0" fontId="5" fillId="0" borderId="1" pivotButton="0" quotePrefix="0" xfId="0"/>
    <xf numFmtId="0" fontId="9" fillId="0" borderId="0" applyAlignment="1" pivotButton="0" quotePrefix="0" xfId="0">
      <alignment horizontal="center" vertical="top"/>
    </xf>
    <xf numFmtId="166" fontId="8" fillId="0" borderId="1" pivotButton="0" quotePrefix="0" xfId="0"/>
    <xf numFmtId="0" fontId="5" fillId="2" borderId="1" applyAlignment="1" pivotButton="0" quotePrefix="0" xfId="0">
      <alignment horizontal="center" vertical="top" wrapText="1"/>
    </xf>
    <xf numFmtId="166" fontId="5" fillId="0" borderId="1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hyperlink" Target="#'Cover'!A1" TargetMode="External" Id="rId1"/><Relationship Type="http://schemas.openxmlformats.org/officeDocument/2006/relationships/hyperlink" Target="#'Contents'!A1" TargetMode="External" Id="rId2"/><Relationship Type="http://schemas.openxmlformats.org/officeDocument/2006/relationships/hyperlink" Target="#'Change Log'!A1" TargetMode="External" Id="rId3"/><Relationship Type="http://schemas.openxmlformats.org/officeDocument/2006/relationships/hyperlink" Target="#'Assumptions'!A1" TargetMode="External" Id="rId4"/><Relationship Type="http://schemas.openxmlformats.org/officeDocument/2006/relationships/hyperlink" Target="#'Timeline'!A1" TargetMode="External" Id="rId5"/><Relationship Type="http://schemas.openxmlformats.org/officeDocument/2006/relationships/hyperlink" Target="#'Scenarios'!A1" TargetMode="External" Id="rId6"/><Relationship Type="http://schemas.openxmlformats.org/officeDocument/2006/relationships/hyperlink" Target="#'Calc_Survival'!A1" TargetMode="External" Id="rId7"/><Relationship Type="http://schemas.openxmlformats.org/officeDocument/2006/relationships/hyperlink" Target="#'Calc_Project_rNPV'!A1" TargetMode="External" Id="rId8"/><Relationship Type="http://schemas.openxmlformats.org/officeDocument/2006/relationships/hyperlink" Target="#'Calc_Company'!A1" TargetMode="External" Id="rId9"/><Relationship Type="http://schemas.openxmlformats.org/officeDocument/2006/relationships/hyperlink" Target="#'Returns'!A1" TargetMode="External" Id="rId10"/><Relationship Type="http://schemas.openxmlformats.org/officeDocument/2006/relationships/hyperlink" Target="#'Calc_CrossChecks'!A1" TargetMode="External" Id="rId11"/><Relationship Type="http://schemas.openxmlformats.org/officeDocument/2006/relationships/hyperlink" Target="#'Sensitivity'!A1" TargetMode="External" Id="rId12"/><Relationship Type="http://schemas.openxmlformats.org/officeDocument/2006/relationships/hyperlink" Target="#'Checks'!A1" TargetMode="External" Id="rId13"/><Relationship Type="http://schemas.openxmlformats.org/officeDocument/2006/relationships/hyperlink" Target="#'Dashboard'!A1" TargetMode="External" Id="rId14"/><Relationship Type="http://schemas.openxmlformats.org/officeDocument/2006/relationships/hyperlink" Target="#'Sources &amp; Glossary'!A1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Contents'!A1" TargetMode="External" Id="rId1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J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64" customWidth="1" min="2" max="2"/>
  </cols>
  <sheetData>
    <row r="1">
      <c r="A1" s="1" t="inlineStr">
        <is>
          <t>Battery-Developer Startup Valuation — Direct-Equity Stake</t>
        </is>
      </c>
      <c r="J1" s="2" t="inlineStr">
        <is>
          <t>↩ Contents</t>
        </is>
      </c>
    </row>
    <row r="2">
      <c r="A2" s="3" t="inlineStr">
        <is>
          <t>Subtitle</t>
        </is>
      </c>
      <c r="B2" s="4" t="inlineStr">
        <is>
          <t>Return on OUR shares (equity IRR/MOIC) in an illustrative distribution-BESS develop-and-flip startup (NSW/VIC/SA)</t>
        </is>
      </c>
    </row>
    <row r="3">
      <c r="A3" s="3" t="inlineStr">
        <is>
          <t>Version</t>
        </is>
      </c>
      <c r="B3" s="4" t="inlineStr">
        <is>
          <t>v3.0</t>
        </is>
      </c>
    </row>
    <row r="4">
      <c r="A4" s="3" t="inlineStr">
        <is>
          <t>Author</t>
        </is>
      </c>
      <c r="B4" s="4" t="inlineStr">
        <is>
          <t>Portfolio project (independent rebuild; founder/manager claims verified)</t>
        </is>
      </c>
    </row>
    <row r="5">
      <c r="A5" s="3" t="inlineStr">
        <is>
          <t>Date</t>
        </is>
      </c>
      <c r="B5" s="4" t="inlineStr">
        <is>
          <t>2026-06-26</t>
        </is>
      </c>
    </row>
    <row r="6">
      <c r="A6" s="3" t="inlineStr">
        <is>
          <t>Currency / Units</t>
        </is>
      </c>
      <c r="B6" s="4" t="inlineStr">
        <is>
          <t>AUD, $ millions ($m)</t>
        </is>
      </c>
    </row>
    <row r="7">
      <c r="A7" s="3" t="inlineStr">
        <is>
          <t>Active scenario</t>
        </is>
      </c>
      <c r="B7" s="5">
        <f>'Scenarios'!$B$3</f>
        <v/>
      </c>
    </row>
    <row r="8">
      <c r="A8" s="3" t="inlineStr">
        <is>
          <t>MASTER CHECK</t>
        </is>
      </c>
      <c r="B8" s="5">
        <f>'Checks'!$B$24</f>
        <v/>
      </c>
    </row>
    <row r="10">
      <c r="A10" s="6" t="inlineStr">
        <is>
          <t>Decision brief</t>
        </is>
      </c>
    </row>
    <row r="11">
      <c r="A11" s="3" t="inlineStr">
        <is>
          <t>Decision</t>
        </is>
      </c>
      <c r="B11" s="4" t="inlineStr">
        <is>
          <t>Whether to buy SHARES DIRECTLY (a minority equity stake) in an (illustrative) develop-and-flip RTB battery startup, and at what expected return on our shares.</t>
        </is>
      </c>
    </row>
    <row r="12">
      <c r="A12" s="3" t="inlineStr">
        <is>
          <t>Structure</t>
        </is>
      </c>
      <c r="B12" s="4" t="inlineStr">
        <is>
          <t>We invest as a SHAREHOLDER, NOT as a fund limited partner. A cap table (pre-/post-money, ownership, dilution, 1x liquidation preference) turns the company's exit equity value into OUR return. The equity-deal terms are PLACEHOLDERS to confirm.</t>
        </is>
      </c>
    </row>
    <row r="13">
      <c r="A13" s="3" t="inlineStr">
        <is>
          <t>Exit basis</t>
        </is>
      </c>
      <c r="B13" s="4" t="inlineStr">
        <is>
          <t>PRIMARY exit equity = forward-pipeline rNPV (projects in flight at exit) + retained cash − debt — what a buyer of a development platform pays. The earnings multiple is a CROSS-CHECK only (run-rate × a sourced low/base/high range). Pipeline depth at exit is the main sensitivity (Exhibit D).</t>
        </is>
      </c>
    </row>
    <row r="14">
      <c r="A14" s="3" t="inlineStr">
        <is>
          <t>Reframe</t>
        </is>
      </c>
      <c r="B14" s="4" t="inlineStr">
        <is>
          <t>The company sells RTB before construction — MERCHANT RISK PASSES TO THE BUYER. Its risk is the survival curve (approve→connect→sell) + the RTB price; ours is also dilution and the cap-table terms.</t>
        </is>
      </c>
    </row>
    <row r="15">
      <c r="A15" s="3" t="inlineStr">
        <is>
          <t>Outputs</t>
        </is>
      </c>
      <c r="B15" s="4" t="inlineStr">
        <is>
          <t>Cap table, return on our shares (equity IRR &amp; MOIC) by scenario, First-Chicago expected return, forward-pipeline exit + earnings-multiple cross-check, per-pipeline valuation cross-check, sensitivities.</t>
        </is>
      </c>
    </row>
    <row r="16">
      <c r="A16" s="3" t="inlineStr">
        <is>
          <t>Detail / horizon</t>
        </is>
      </c>
      <c r="B16" s="4" t="inlineStr">
        <is>
          <t>Company programme ~2+1-year cycle; our exit year is a placeholder. AUD, $m.</t>
        </is>
      </c>
    </row>
    <row r="17">
      <c r="A17" s="3" t="inlineStr">
        <is>
          <t>Out of scope</t>
        </is>
      </c>
      <c r="B17" s="4" t="inlineStr">
        <is>
          <t>Post-sale operating/merchant cash flows, construction (buyer-funded), full multi-round waterfall, tax structuring, FX, debt.</t>
        </is>
      </c>
    </row>
    <row r="18">
      <c r="A18" s="6" t="inlineStr">
        <is>
          <t>Standards followed</t>
        </is>
      </c>
    </row>
    <row r="19">
      <c r="B19" s="4" t="inlineStr">
        <is>
          <t>FAST / ICAEW / Macabacus / Operis + VC-method structure: Inputs→Calcs→Outputs zones; one Timeline; one-row-one-calc; no hardcodes in formulas; CHOOSE scenario switch + live-case row; checks built alongside; colour code (blue input / black formula / green link); INDEX-MATCH not VLOOKUP; IFERROR on division. VC method: work back from the company's exit equity value through the cap table; ownership = investment ÷ post-money; the required/target return (≥25%, VC cross-check) is a RETURN HURDLE that compensates for failure risk — NOT a WACC — and failure risk is also handled explicitly via First-Chicago scenario weighting.</t>
        </is>
      </c>
    </row>
    <row r="20"/>
    <row r="21"/>
    <row r="22"/>
    <row r="24">
      <c r="A24" s="6" t="inlineStr">
        <is>
          <t>Judgement inputs to OWN (review pass)</t>
        </is>
      </c>
    </row>
    <row r="25">
      <c r="B25" s="4" t="inlineStr">
        <is>
          <t>Discount rate &amp; premium • the THREE scenario success rates (vs the independent benchmark) • RTB $/MW by state (need independent comps) • dev cost per project &amp; abandonment • the equity-deal terms (pre-money, our cheque, option pool, future dilution, liquidation preference, exit year) • the EXIT-VALUE drivers (pipeline depth at exit, distribution fraction, debt at exit, and the cross-check multiple range — ALL placeholders). Founder/manager figures are CLAIMS to verify — defend your own.</t>
        </is>
      </c>
    </row>
    <row r="26"/>
    <row r="27"/>
    <row r="28"/>
    <row r="30">
      <c r="A30" s="6" t="inlineStr">
        <is>
          <t>TO COMPLETE (analyst review pass)</t>
        </is>
      </c>
    </row>
    <row r="31">
      <c r="B31" s="4" t="inlineStr">
        <is>
          <t>1. Trace every formula + colour audit; confirm master check = OK; stress the switch in all 3 positions.  2. Replace BENCHMARK / claim inputs with verified independent values (RTB comps, per-state success, dev cost) and CONFIRM the cap-table terms against a term sheet.  3. Stress a downside where RTB prices are 20–30% lower and success ≈ the independent benchmark; confirm our shares can be wiped out (Conservative = total loss).  4. Pressure-test the EXIT BASIS (now the biggest swing factor): vary pipeline depth at exit and the discount rate (Exhibit D); confirm comps if any (else the pipeline basis stands).  5. Depth left out: a SINGLE funding round and a 1× NON-PARTICIPATING liquidation preference are scaffolded — add later rounds (Series B/C) to the cap table, and participation / anti-dilution / accrued preferred dividends if the term sheet carries them.</t>
        </is>
      </c>
    </row>
    <row r="32"/>
    <row r="33"/>
    <row r="34"/>
    <row r="35"/>
    <row r="36">
      <c r="A36" s="3" t="inlineStr">
        <is>
          <t>DISCLAIMER</t>
        </is>
      </c>
      <c r="B36" s="7" t="inlineStr">
        <is>
          <t>ILLUSTRATIVE startup built from public benchmark data; an INDEPENDENT rebuild (not an endorsement). NOT investment advice. Wholesale-investor context; read the term sheet / IM. The equity-deal terms are placeholders to confirm. All figures illustrative and must be independently verified. Capital is at risk.</t>
        </is>
      </c>
    </row>
    <row r="37"/>
    <row r="38"/>
    <row r="39"/>
  </sheetData>
  <mergeCells count="4">
    <mergeCell ref="B31:B35"/>
    <mergeCell ref="B19:B22"/>
    <mergeCell ref="B36:B39"/>
    <mergeCell ref="B25:B28"/>
  </mergeCells>
  <conditionalFormatting sqref="B8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60" customWidth="1" min="3" max="3"/>
  </cols>
  <sheetData>
    <row r="1">
      <c r="A1" s="1" t="inlineStr">
        <is>
          <t>Contents</t>
        </is>
      </c>
    </row>
    <row r="3">
      <c r="A3" s="8" t="inlineStr">
        <is>
          <t>#</t>
        </is>
      </c>
      <c r="B3" s="8" t="inlineStr">
        <is>
          <t>Sheet</t>
        </is>
      </c>
      <c r="C3" s="8" t="inlineStr">
        <is>
          <t>Purpose</t>
        </is>
      </c>
    </row>
    <row r="4">
      <c r="A4" s="9" t="n">
        <v>1</v>
      </c>
      <c r="B4" s="2" t="inlineStr">
        <is>
          <t>Cover</t>
        </is>
      </c>
      <c r="C4" s="10" t="inlineStr">
        <is>
          <t>Title, decision brief, master check, disclaimer</t>
        </is>
      </c>
    </row>
    <row r="5">
      <c r="A5" s="9" t="n">
        <v>2</v>
      </c>
      <c r="B5" s="2" t="inlineStr">
        <is>
          <t>Contents</t>
        </is>
      </c>
      <c r="C5" s="10" t="inlineStr">
        <is>
          <t>This page</t>
        </is>
      </c>
    </row>
    <row r="6">
      <c r="A6" s="9" t="n">
        <v>3</v>
      </c>
      <c r="B6" s="2" t="inlineStr">
        <is>
          <t>Change Log</t>
        </is>
      </c>
      <c r="C6" s="10" t="inlineStr">
        <is>
          <t>Version history</t>
        </is>
      </c>
    </row>
    <row r="7">
      <c r="A7" s="9" t="n">
        <v>4</v>
      </c>
      <c r="B7" s="2" t="inlineStr">
        <is>
          <t>Assumptions</t>
        </is>
      </c>
      <c r="C7" s="10" t="inlineStr">
        <is>
          <t>All assumptions + cap-table deal terms + imported data (blue)</t>
        </is>
      </c>
    </row>
    <row r="8">
      <c r="A8" s="9" t="n">
        <v>5</v>
      </c>
      <c r="B8" s="2" t="inlineStr">
        <is>
          <t>Timeline</t>
        </is>
      </c>
      <c r="C8" s="10" t="inlineStr">
        <is>
          <t>Master timeline (built once)</t>
        </is>
      </c>
    </row>
    <row r="9">
      <c r="A9" s="9" t="n">
        <v>6</v>
      </c>
      <c r="B9" s="2" t="inlineStr">
        <is>
          <t>Scenarios</t>
        </is>
      </c>
      <c r="C9" s="10" t="inlineStr">
        <is>
          <t>Scenarios + switch (DA gate) + live case + weights</t>
        </is>
      </c>
    </row>
    <row r="10">
      <c r="A10" s="9" t="n">
        <v>7</v>
      </c>
      <c r="B10" s="2" t="inlineStr">
        <is>
          <t>Calc_Survival</t>
        </is>
      </c>
      <c r="C10" s="10" t="inlineStr">
        <is>
          <t>Separate gates; flip success = DA × connection × sale + flag</t>
        </is>
      </c>
    </row>
    <row r="11">
      <c r="A11" s="9" t="n">
        <v>8</v>
      </c>
      <c r="B11" s="2" t="inlineStr">
        <is>
          <t>Calc_Project_rNPV</t>
        </is>
      </c>
      <c r="C11" s="10" t="inlineStr">
        <is>
          <t>Per-project risk-adjusted NAV (RTB − dev cost)</t>
        </is>
      </c>
    </row>
    <row r="12">
      <c r="A12" s="9" t="n">
        <v>9</v>
      </c>
      <c r="B12" s="2" t="inlineStr">
        <is>
          <t>Calc_Company</t>
        </is>
      </c>
      <c r="C12" s="10" t="inlineStr">
        <is>
          <t>Company programme: funnel → realised profit + forward-pipeline rNPV → exit equity value (+ earnings cross-check)</t>
        </is>
      </c>
    </row>
    <row r="13">
      <c r="A13" s="9" t="n">
        <v>10</v>
      </c>
      <c r="B13" s="2" t="inlineStr">
        <is>
          <t>Returns</t>
        </is>
      </c>
      <c r="C13" s="10" t="inlineStr">
        <is>
          <t>Cap table; return on OUR shares (equity IRR/MOIC) by scenario, First-Chicago, valuation range</t>
        </is>
      </c>
    </row>
    <row r="14">
      <c r="A14" s="9" t="n">
        <v>11</v>
      </c>
      <c r="B14" s="2" t="inlineStr">
        <is>
          <t>Calc_CrossChecks</t>
        </is>
      </c>
      <c r="C14" s="10" t="inlineStr">
        <is>
          <t>$/MW benchmark, VC method, RTB vs built</t>
        </is>
      </c>
    </row>
    <row r="15">
      <c r="A15" s="9" t="n">
        <v>12</v>
      </c>
      <c r="B15" s="2" t="inlineStr">
        <is>
          <t>Sensitivity</t>
        </is>
      </c>
      <c r="C15" s="10" t="inlineStr">
        <is>
          <t>Our equity IRR grid (development approval × RTB price)</t>
        </is>
      </c>
    </row>
    <row r="16">
      <c r="A16" s="9" t="n">
        <v>13</v>
      </c>
      <c r="B16" s="2" t="inlineStr">
        <is>
          <t>Checks</t>
        </is>
      </c>
      <c r="C16" s="10" t="inlineStr">
        <is>
          <t>Integrity checks + master check</t>
        </is>
      </c>
    </row>
    <row r="17">
      <c r="A17" s="9" t="n">
        <v>14</v>
      </c>
      <c r="B17" s="2" t="inlineStr">
        <is>
          <t>Dashboard</t>
        </is>
      </c>
      <c r="C17" s="10" t="inlineStr">
        <is>
          <t>One-page IC summary</t>
        </is>
      </c>
    </row>
    <row r="18">
      <c r="A18" s="9" t="n">
        <v>15</v>
      </c>
      <c r="B18" s="2" t="inlineStr">
        <is>
          <t>Sources &amp; Glossary</t>
        </is>
      </c>
      <c r="C18" s="10" t="inlineStr">
        <is>
          <t>Sources + glossary</t>
        </is>
      </c>
    </row>
  </sheetData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J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62" customWidth="1" min="3" max="3"/>
    <col width="20" customWidth="1" min="4" max="4"/>
  </cols>
  <sheetData>
    <row r="1">
      <c r="A1" s="1" t="inlineStr">
        <is>
          <t>Change Log</t>
        </is>
      </c>
      <c r="J1" s="2" t="inlineStr">
        <is>
          <t>↩ Contents</t>
        </is>
      </c>
    </row>
    <row r="3">
      <c r="A3" s="8" t="inlineStr">
        <is>
          <t>Date</t>
        </is>
      </c>
      <c r="B3" s="8" t="inlineStr">
        <is>
          <t>Version</t>
        </is>
      </c>
      <c r="C3" s="8" t="inlineStr">
        <is>
          <t>Change</t>
        </is>
      </c>
      <c r="D3" s="8" t="inlineStr">
        <is>
          <t>Author</t>
        </is>
      </c>
    </row>
    <row r="4">
      <c r="A4" s="11" t="inlineStr">
        <is>
          <t>2026-06-26</t>
        </is>
      </c>
      <c r="B4" s="11" t="inlineStr">
        <is>
          <t>v1.0</t>
        </is>
      </c>
      <c r="C4" s="4" t="inlineStr">
        <is>
          <t>Initial build: survival curve, per-project rNPV, programme funnel, returns, First-Chicago, cross-checks, sensitivity, checks, dashboard.</t>
        </is>
      </c>
      <c r="D4" s="12" t="inlineStr">
        <is>
          <t>Analyst (v1 draft)</t>
        </is>
      </c>
    </row>
    <row r="5">
      <c r="A5" s="11" t="inlineStr">
        <is>
          <t>2026-06-26</t>
        </is>
      </c>
      <c r="B5" s="11" t="inlineStr">
        <is>
          <t>v2.0</t>
        </is>
      </c>
      <c r="C5" s="4" t="inlineStr">
        <is>
          <t>Reframed from a fund LP investment to a DIRECT-EQUITY stake: removed fees/carry/hurdle; renamed Calc_Fund→Calc_Company (programme → net profit → company exit equity value); added a cap table (pre-/post-money, ownership, dilution, 1x liquidation preference) on Returns; outputs are now the return on OUR shares (equity IRR/MOIC), First-Chicago weights proceeds; sensitivity outputs our equity IRR.</t>
        </is>
      </c>
      <c r="D5" s="12" t="inlineStr">
        <is>
          <t>Analyst (v2 reframe)</t>
        </is>
      </c>
    </row>
    <row r="6">
      <c r="A6" s="11" t="inlineStr">
        <is>
          <t>2026-06-26</t>
        </is>
      </c>
      <c r="B6" s="11" t="inlineStr">
        <is>
          <t>v3.0</t>
        </is>
      </c>
      <c r="C6" s="4" t="inlineStr">
        <is>
          <t>Fixed the exit-value basis (change2.md): PRIMARY exit equity is now FORWARD-PIPELINE rNPV (depth × per-project) + retained cash − debt, not net profit × a platform multiple. The earnings multiple is demoted to a CROSS-CHECK on FORWARD RUN-RATE profit (a sourced low/base/high range). Added pipeline depth / distribution-fraction / debt inputs; a retained-cash double-count guard; and the exit-value sensitivity (Exhibit D). Return = terminal proceeds + interim distributions (convention (b)).</t>
        </is>
      </c>
      <c r="D6" s="12" t="inlineStr">
        <is>
          <t>Analyst (v3 exit-basis)</t>
        </is>
      </c>
    </row>
    <row r="7">
      <c r="A7" s="11" t="inlineStr">
        <is>
          <t>2026-06-26</t>
        </is>
      </c>
      <c r="B7" s="11" t="inlineStr">
        <is>
          <t>v4.0</t>
        </is>
      </c>
      <c r="C7" s="4" t="inlineStr">
        <is>
          <t>Added input PROVENANCE (change5): every price/value input tagged Proposed (manager) / Independent (verified) / Placeholder, plus a contamination guard so the independent rNPV consumes only verified inputs. RTB $/MW and dev cost are the manager's UNVERIFIED claims, so the independent value is illustrative pending verification (advisory on this tab). Anonymised: no real names; all monetary figures are illustrative placeholders.</t>
        </is>
      </c>
      <c r="D7" s="12" t="inlineStr">
        <is>
          <t>Analyst (v4 provenance)</t>
        </is>
      </c>
    </row>
    <row r="8">
      <c r="C8" s="13" t="inlineStr">
        <is>
          <t>[Analyst review pass — record changes here]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70C0"/>
    <outlinePr summaryBelow="1" summaryRight="1"/>
    <pageSetUpPr/>
  </sheetPr>
  <dimension ref="A1:J6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3" customWidth="1" min="4" max="4"/>
    <col width="50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ASSUMPTIONS — the single junction; every driver flows from here (blue = input cell)</t>
        </is>
      </c>
      <c r="J1" s="2" t="inlineStr">
        <is>
          <t>↩ Contents</t>
        </is>
      </c>
    </row>
    <row r="2">
      <c r="A2" s="14" t="inlineStr">
        <is>
          <t>We buy SHARES directly in an ILLUSTRATIVE battery-developer startup (not a fund LP). Founder/manager figures are CLAIMS — verify; the equity-deal terms are placeholders to confirm. Every input traces to a source.</t>
        </is>
      </c>
    </row>
    <row r="3">
      <c r="A3" s="8" t="inlineStr">
        <is>
          <t>Assumption</t>
        </is>
      </c>
      <c r="B3" s="8" t="inlineStr"/>
      <c r="C3" s="8" t="inlineStr">
        <is>
          <t>Value</t>
        </is>
      </c>
      <c r="D3" s="8" t="inlineStr">
        <is>
          <t>Unit</t>
        </is>
      </c>
      <c r="E3" s="8" t="inlineStr">
        <is>
          <t>Source</t>
        </is>
      </c>
      <c r="F3" s="8" t="inlineStr">
        <is>
          <t>As at</t>
        </is>
      </c>
      <c r="G3" s="8" t="inlineStr">
        <is>
          <t>Status</t>
        </is>
      </c>
      <c r="H3" s="8" t="inlineStr">
        <is>
          <t>Duration (yrs)</t>
        </is>
      </c>
    </row>
    <row r="4">
      <c r="A4" s="6" t="inlineStr">
        <is>
          <t>Discount rate (rNPV / cross-checks)</t>
        </is>
      </c>
    </row>
    <row r="5">
      <c r="A5" s="15" t="inlineStr">
        <is>
          <t>Risk-free rate (RBA 10yr CGS)</t>
        </is>
      </c>
      <c r="C5" s="16" t="n">
        <v>0.04776</v>
      </c>
      <c r="D5" s="15" t="inlineStr">
        <is>
          <t>decimal</t>
        </is>
      </c>
      <c r="E5" s="14" t="inlineStr">
        <is>
          <t>RBA Statistical Table F2 (Capital Market Yields — 10yr CGS)</t>
        </is>
      </c>
      <c r="F5" s="17" t="inlineStr">
        <is>
          <t>17-Jun-2026</t>
        </is>
      </c>
      <c r="G5" s="17" t="inlineStr">
        <is>
          <t>LIVE</t>
        </is>
      </c>
    </row>
    <row r="6">
      <c r="A6" s="15" t="inlineStr">
        <is>
          <t>Development risk premium</t>
        </is>
      </c>
      <c r="C6" s="16" t="n">
        <v>0.14</v>
      </c>
      <c r="D6" s="15" t="inlineStr">
        <is>
          <t>decimal</t>
        </is>
      </c>
      <c r="E6" s="14" t="inlineStr">
        <is>
          <t>Illustrative / the manager claim (see config)</t>
        </is>
      </c>
      <c r="F6" s="17" t="inlineStr">
        <is>
          <t>2026-06-26</t>
        </is>
      </c>
      <c r="G6" s="17" t="inlineStr">
        <is>
          <t>BENCHMARK</t>
        </is>
      </c>
    </row>
    <row r="7">
      <c r="A7" s="3" t="inlineStr">
        <is>
          <t>Base discount rate</t>
        </is>
      </c>
      <c r="C7" s="18">
        <f>'Assumptions'!$C$5+'Assumptions'!$C$6</f>
        <v/>
      </c>
      <c r="D7" s="15" t="inlineStr">
        <is>
          <t>decimal</t>
        </is>
      </c>
    </row>
    <row r="8">
      <c r="A8" s="6" t="inlineStr">
        <is>
          <t>The company's development programme (the startup we buy shares in)</t>
        </is>
      </c>
    </row>
    <row r="9">
      <c r="A9" s="15" t="inlineStr">
        <is>
          <t>Programme capital (company's dev programme)</t>
        </is>
      </c>
      <c r="C9" s="19" t="n">
        <v>25</v>
      </c>
      <c r="D9" s="15" t="inlineStr">
        <is>
          <t>$m</t>
        </is>
      </c>
      <c r="E9" s="14" t="inlineStr">
        <is>
          <t>Illustrative / the manager claim (see config)</t>
        </is>
      </c>
      <c r="F9" s="17" t="inlineStr">
        <is>
          <t>2026-06-26</t>
        </is>
      </c>
      <c r="G9" s="17" t="inlineStr">
        <is>
          <t>BENCHMARK</t>
        </is>
      </c>
    </row>
    <row r="10">
      <c r="A10" s="15" t="inlineStr">
        <is>
          <t>Projects target (delivered &amp; sold)</t>
        </is>
      </c>
      <c r="C10" s="20" t="n">
        <v>35</v>
      </c>
      <c r="D10" s="15" t="inlineStr">
        <is>
          <t>count</t>
        </is>
      </c>
      <c r="E10" s="14" t="inlineStr">
        <is>
          <t>Illustrative / the manager claim (see config)</t>
        </is>
      </c>
      <c r="F10" s="17" t="inlineStr">
        <is>
          <t>2026-06-26</t>
        </is>
      </c>
      <c r="G10" s="17" t="inlineStr">
        <is>
          <t>BENCHMARK</t>
        </is>
      </c>
    </row>
    <row r="11">
      <c r="A11" s="15" t="inlineStr">
        <is>
          <t>Term</t>
        </is>
      </c>
      <c r="C11" s="20" t="n">
        <v>3</v>
      </c>
      <c r="D11" s="15" t="inlineStr">
        <is>
          <t>years</t>
        </is>
      </c>
      <c r="E11" s="14" t="inlineStr">
        <is>
          <t>Illustrative / the manager claim (see config)</t>
        </is>
      </c>
      <c r="F11" s="17" t="inlineStr">
        <is>
          <t>2026-06-26</t>
        </is>
      </c>
      <c r="G11" s="17" t="inlineStr">
        <is>
          <t>BENCHMARK</t>
        </is>
      </c>
    </row>
    <row r="12">
      <c r="A12" s="6" t="inlineStr">
        <is>
          <t>Direct-equity deal terms (cap table) — placeholders to confirm</t>
        </is>
      </c>
    </row>
    <row r="13">
      <c r="A13" s="15" t="inlineStr">
        <is>
          <t>Pre-money valuation</t>
        </is>
      </c>
      <c r="C13" s="19" t="n">
        <v>8</v>
      </c>
      <c r="D13" s="15" t="inlineStr">
        <is>
          <t>$m</t>
        </is>
      </c>
      <c r="E13" s="14" t="inlineStr">
        <is>
          <t>Illustrative / the manager claim (see config)</t>
        </is>
      </c>
      <c r="F13" s="17" t="inlineStr">
        <is>
          <t>2026-06-26</t>
        </is>
      </c>
      <c r="G13" s="17" t="inlineStr">
        <is>
          <t>TO CONFIRM</t>
        </is>
      </c>
    </row>
    <row r="14">
      <c r="A14" s="15" t="inlineStr">
        <is>
          <t>Our investment</t>
        </is>
      </c>
      <c r="C14" s="19" t="n">
        <v>2</v>
      </c>
      <c r="D14" s="15" t="inlineStr">
        <is>
          <t>$m</t>
        </is>
      </c>
      <c r="E14" s="14" t="inlineStr">
        <is>
          <t>Illustrative / the manager claim (see config)</t>
        </is>
      </c>
      <c r="F14" s="17" t="inlineStr">
        <is>
          <t>2026-06-26</t>
        </is>
      </c>
      <c r="G14" s="17" t="inlineStr">
        <is>
          <t>TO CONFIRM</t>
        </is>
      </c>
    </row>
    <row r="15">
      <c r="A15" s="15" t="inlineStr">
        <is>
          <t>Option pool % (created at our round)</t>
        </is>
      </c>
      <c r="C15" s="16" t="n">
        <v>0.1</v>
      </c>
      <c r="D15" s="15" t="inlineStr">
        <is>
          <t>decimal</t>
        </is>
      </c>
      <c r="E15" s="14" t="inlineStr">
        <is>
          <t>Illustrative / the manager claim (see config)</t>
        </is>
      </c>
      <c r="F15" s="17" t="inlineStr">
        <is>
          <t>2026-06-26</t>
        </is>
      </c>
      <c r="G15" s="17" t="inlineStr">
        <is>
          <t>TO CONFIRM</t>
        </is>
      </c>
    </row>
    <row r="16">
      <c r="A16" s="15" t="inlineStr">
        <is>
          <t>Future-round dilution %</t>
        </is>
      </c>
      <c r="C16" s="16" t="n">
        <v>0.2</v>
      </c>
      <c r="D16" s="15" t="inlineStr">
        <is>
          <t>decimal</t>
        </is>
      </c>
      <c r="E16" s="14" t="inlineStr">
        <is>
          <t>Illustrative / the manager claim (see config)</t>
        </is>
      </c>
      <c r="F16" s="17" t="inlineStr">
        <is>
          <t>2026-06-26</t>
        </is>
      </c>
      <c r="G16" s="17" t="inlineStr">
        <is>
          <t>TO CONFIRM</t>
        </is>
      </c>
    </row>
    <row r="17">
      <c r="A17" s="15" t="inlineStr">
        <is>
          <t>Liquidation preference (x)</t>
        </is>
      </c>
      <c r="C17" s="21" t="n">
        <v>1</v>
      </c>
      <c r="D17" s="15" t="inlineStr">
        <is>
          <t>multiple</t>
        </is>
      </c>
      <c r="E17" s="14" t="inlineStr">
        <is>
          <t>Illustrative / the manager claim (see config)</t>
        </is>
      </c>
      <c r="F17" s="17" t="inlineStr">
        <is>
          <t>2026-06-26</t>
        </is>
      </c>
      <c r="G17" s="17" t="inlineStr">
        <is>
          <t>TO CONFIRM</t>
        </is>
      </c>
    </row>
    <row r="18">
      <c r="A18" s="15" t="inlineStr">
        <is>
          <t>Exit year (we sell our shares)</t>
        </is>
      </c>
      <c r="C18" s="20" t="n">
        <v>5</v>
      </c>
      <c r="D18" s="15" t="inlineStr">
        <is>
          <t>years</t>
        </is>
      </c>
      <c r="E18" s="14" t="inlineStr">
        <is>
          <t>Illustrative / the manager claim (see config)</t>
        </is>
      </c>
      <c r="F18" s="17" t="inlineStr">
        <is>
          <t>2026-06-26</t>
        </is>
      </c>
      <c r="G18" s="17" t="inlineStr">
        <is>
          <t>TO CONFIRM</t>
        </is>
      </c>
    </row>
    <row r="20">
      <c r="A20" s="6" t="inlineStr">
        <is>
          <t>Development cost &amp; funnel attrition</t>
        </is>
      </c>
    </row>
    <row r="21">
      <c r="A21" s="15" t="inlineStr">
        <is>
          <t>Development cost per project</t>
        </is>
      </c>
      <c r="C21" s="22" t="n">
        <v>0.5</v>
      </c>
      <c r="D21" s="15" t="inlineStr">
        <is>
          <t>$m/project</t>
        </is>
      </c>
      <c r="E21" s="14" t="inlineStr">
        <is>
          <t>Manager claim ~$500k/project — verify bottom-up</t>
        </is>
      </c>
      <c r="F21" s="17" t="inlineStr">
        <is>
          <t>2026-06-26</t>
        </is>
      </c>
      <c r="G21" s="17" t="inlineStr">
        <is>
          <t>BENCHMARK</t>
        </is>
      </c>
    </row>
    <row r="22">
      <c r="A22" s="15" t="inlineStr">
        <is>
          <t>Abandonment fraction (failed projects)</t>
        </is>
      </c>
      <c r="C22" s="16" t="n">
        <v>0.3</v>
      </c>
      <c r="D22" s="15" t="inlineStr">
        <is>
          <t>decimal</t>
        </is>
      </c>
      <c r="E22" s="14" t="inlineStr">
        <is>
          <t>Illustrative / the manager claim (see config)</t>
        </is>
      </c>
      <c r="F22" s="17" t="inlineStr">
        <is>
          <t>2026-06-26</t>
        </is>
      </c>
      <c r="G22" s="17" t="inlineStr">
        <is>
          <t>BENCHMARK</t>
        </is>
      </c>
    </row>
    <row r="23">
      <c r="A23" s="6" t="inlineStr">
        <is>
          <t>Build cost CONTEXT (buyer-funded — NOT in margin)</t>
        </is>
      </c>
    </row>
    <row r="24">
      <c r="A24" s="15" t="inlineStr">
        <is>
          <t>Built-asset cost (context)</t>
        </is>
      </c>
      <c r="C24" s="23" t="n">
        <v>1.8</v>
      </c>
      <c r="D24" s="15" t="inlineStr">
        <is>
          <t>$m/MW</t>
        </is>
      </c>
      <c r="E24" s="14" t="inlineStr">
        <is>
          <t>CSIRO GenCost-anchored build cost; context only — the buyer funds construction</t>
        </is>
      </c>
      <c r="F24" s="17" t="inlineStr">
        <is>
          <t>2026-06-26</t>
        </is>
      </c>
      <c r="G24" s="17" t="inlineStr">
        <is>
          <t>BENCHMARK</t>
        </is>
      </c>
    </row>
    <row r="25">
      <c r="A25" s="6" t="inlineStr">
        <is>
          <t>Survival gates — SEPARATE; scenarios move ONLY development approval</t>
        </is>
      </c>
    </row>
    <row r="26">
      <c r="A26" s="15" t="inlineStr">
        <is>
          <t>Development approval — public benchmark</t>
        </is>
      </c>
      <c r="C26" s="16" t="n">
        <v>0.8</v>
      </c>
      <c r="D26" s="15" t="inlineStr">
        <is>
          <t>prob</t>
        </is>
      </c>
      <c r="E26" s="14" t="inlineStr">
        <is>
          <t>NSW Planning Portal — approved vs refused/withdrawn BESS major projects (benchmark)</t>
        </is>
      </c>
      <c r="F26" s="17" t="inlineStr">
        <is>
          <t>2026-06-24</t>
        </is>
      </c>
      <c r="G26" s="17" t="inlineStr">
        <is>
          <t>BENCHMARK</t>
        </is>
      </c>
      <c r="H26" s="24" t="n">
        <v>1.25</v>
      </c>
    </row>
    <row r="27">
      <c r="A27" s="15" t="inlineStr">
        <is>
          <t>Grid connection — RTB rights (agreement + GPS)</t>
        </is>
      </c>
      <c r="C27" s="16" t="n">
        <v>0.7</v>
      </c>
      <c r="D27" s="15" t="inlineStr">
        <is>
          <t>prob</t>
        </is>
      </c>
      <c r="E27" s="14" t="inlineStr">
        <is>
          <t>AEMO Connections Scorecard / KCI — RTB-stage connection AGREEMENT + GPS (registration / ready-for-construction; NOT energisation) [[TO CONFIRM]]</t>
        </is>
      </c>
      <c r="F27" s="17" t="inlineStr">
        <is>
          <t>2026-06-24</t>
        </is>
      </c>
      <c r="G27" s="17" t="inlineStr">
        <is>
          <t>BENCHMARK</t>
        </is>
      </c>
      <c r="H27" s="24" t="n">
        <v>1.5</v>
      </c>
    </row>
    <row r="28">
      <c r="A28" s="15" t="inlineStr">
        <is>
          <t>Reach sale — flip exit (separate gate)</t>
        </is>
      </c>
      <c r="C28" s="16" t="n">
        <v>0.8</v>
      </c>
      <c r="D28" s="15" t="inlineStr">
        <is>
          <t>prob</t>
        </is>
      </c>
      <c r="E28" s="14" t="inlineStr">
        <is>
          <t>AEMO proposed-&gt;committed attrition + active buyer pool (benchmark)</t>
        </is>
      </c>
      <c r="F28" s="17" t="inlineStr">
        <is>
          <t>2026-06-24</t>
        </is>
      </c>
      <c r="G28" s="17" t="inlineStr">
        <is>
          <t>BENCHMARK</t>
        </is>
      </c>
      <c r="H28" s="24" t="n">
        <v>0.5</v>
      </c>
    </row>
    <row r="29">
      <c r="A29" s="6" t="inlineStr">
        <is>
          <t>RTB exit price — $/MW by state (the manager claim — verify)</t>
        </is>
      </c>
    </row>
    <row r="30">
      <c r="A30" s="15" t="inlineStr">
        <is>
          <t>NSW</t>
        </is>
      </c>
      <c r="C30" s="23" t="n">
        <v>0.2</v>
      </c>
      <c r="D30" s="15" t="inlineStr">
        <is>
          <t>$m/MW</t>
        </is>
      </c>
      <c r="E30" s="14" t="inlineStr">
        <is>
          <t>RTB $/MW by state (manager claim — independent comps needed)</t>
        </is>
      </c>
      <c r="F30" s="17" t="inlineStr">
        <is>
          <t>2026-06-26</t>
        </is>
      </c>
      <c r="G30" s="17" t="inlineStr">
        <is>
          <t>BENCHMARK</t>
        </is>
      </c>
    </row>
    <row r="31">
      <c r="A31" s="15" t="inlineStr">
        <is>
          <t>VIC</t>
        </is>
      </c>
      <c r="C31" s="23" t="n">
        <v>0.18</v>
      </c>
      <c r="D31" s="15" t="inlineStr">
        <is>
          <t>$m/MW</t>
        </is>
      </c>
      <c r="E31" s="14" t="inlineStr">
        <is>
          <t>RTB $/MW by state (manager claim — independent comps needed)</t>
        </is>
      </c>
      <c r="F31" s="17" t="inlineStr">
        <is>
          <t>2026-06-26</t>
        </is>
      </c>
      <c r="G31" s="17" t="inlineStr">
        <is>
          <t>BENCHMARK</t>
        </is>
      </c>
    </row>
    <row r="32">
      <c r="A32" s="15" t="inlineStr">
        <is>
          <t>SA</t>
        </is>
      </c>
      <c r="C32" s="23" t="n">
        <v>0.12</v>
      </c>
      <c r="D32" s="15" t="inlineStr">
        <is>
          <t>$m/MW</t>
        </is>
      </c>
      <c r="E32" s="14" t="inlineStr">
        <is>
          <t>RTB $/MW by state (manager claim — independent comps needed)</t>
        </is>
      </c>
      <c r="F32" s="17" t="inlineStr">
        <is>
          <t>2026-06-26</t>
        </is>
      </c>
      <c r="G32" s="17" t="inlineStr">
        <is>
          <t>BENCHMARK</t>
        </is>
      </c>
    </row>
    <row r="33">
      <c r="A33" s="6" t="inlineStr">
        <is>
          <t>VC method</t>
        </is>
      </c>
    </row>
    <row r="34">
      <c r="A34" s="15" t="inlineStr">
        <is>
          <t>VC target return (cross-check)</t>
        </is>
      </c>
      <c r="C34" s="16" t="n">
        <v>0.25</v>
      </c>
      <c r="D34" s="15" t="inlineStr">
        <is>
          <t>decimal</t>
        </is>
      </c>
      <c r="E34" s="14" t="inlineStr">
        <is>
          <t>Illustrative / the manager claim (see config)</t>
        </is>
      </c>
      <c r="F34" s="17" t="inlineStr">
        <is>
          <t>2026-06-26</t>
        </is>
      </c>
      <c r="G34" s="17" t="inlineStr">
        <is>
          <t>BENCHMARK</t>
        </is>
      </c>
    </row>
    <row r="35">
      <c r="A35" s="6" t="inlineStr">
        <is>
          <t>Investor cash-flow profile (period 0..3; each sums to 100%)</t>
        </is>
      </c>
    </row>
    <row r="36">
      <c r="A36" s="15" t="inlineStr">
        <is>
          <t>Capital call profile</t>
        </is>
      </c>
      <c r="C36" s="25" t="n">
        <v>0.5</v>
      </c>
      <c r="D36" s="25" t="n">
        <v>0.5</v>
      </c>
      <c r="E36" s="25" t="n">
        <v>0</v>
      </c>
      <c r="F36" s="25" t="n">
        <v>0</v>
      </c>
    </row>
    <row r="37">
      <c r="A37" s="15" t="inlineStr">
        <is>
          <t>Distribution profile</t>
        </is>
      </c>
      <c r="C37" s="25" t="n">
        <v>0</v>
      </c>
      <c r="D37" s="25" t="n">
        <v>0</v>
      </c>
      <c r="E37" s="25" t="n">
        <v>0.5</v>
      </c>
      <c r="F37" s="25" t="n">
        <v>0.5</v>
      </c>
    </row>
    <row r="38">
      <c r="A38" s="6" t="inlineStr">
        <is>
          <t>Illustrative pipeline (representative ~5 MW distribution projects)</t>
        </is>
      </c>
    </row>
    <row r="39">
      <c r="A39" s="8" t="inlineStr">
        <is>
          <t>Project</t>
        </is>
      </c>
      <c r="B39" s="8" t="inlineStr">
        <is>
          <t>State</t>
        </is>
      </c>
      <c r="C39" s="8" t="inlineStr">
        <is>
          <t>Location</t>
        </is>
      </c>
      <c r="D39" s="8" t="inlineStr">
        <is>
          <t>MW</t>
        </is>
      </c>
      <c r="E39" s="8" t="inlineStr">
        <is>
          <t>Duration (h)</t>
        </is>
      </c>
      <c r="F39" s="8" t="inlineStr">
        <is>
          <t>MWh</t>
        </is>
      </c>
      <c r="G39" s="8" t="inlineStr">
        <is>
          <t>Years to sale</t>
        </is>
      </c>
    </row>
    <row r="40">
      <c r="A40" s="12" t="inlineStr">
        <is>
          <t>Riverina 5MW BESS (illustrative)</t>
        </is>
      </c>
      <c r="B40" s="11" t="inlineStr">
        <is>
          <t>NSW</t>
        </is>
      </c>
      <c r="C40" s="12" t="inlineStr">
        <is>
          <t>Wagga Wagga, NSW</t>
        </is>
      </c>
      <c r="D40" s="20" t="n">
        <v>5</v>
      </c>
      <c r="E40" s="24" t="n">
        <v>2</v>
      </c>
      <c r="F40" s="26">
        <f>D40*E40</f>
        <v/>
      </c>
      <c r="G40" s="24" t="n">
        <v>2.5</v>
      </c>
    </row>
    <row r="41">
      <c r="A41" s="12" t="inlineStr">
        <is>
          <t>Hunter Edge 5MW BESS (illustrative)</t>
        </is>
      </c>
      <c r="B41" s="11" t="inlineStr">
        <is>
          <t>NSW</t>
        </is>
      </c>
      <c r="C41" s="12" t="inlineStr">
        <is>
          <t>Hunter Valley, NSW</t>
        </is>
      </c>
      <c r="D41" s="20" t="n">
        <v>5</v>
      </c>
      <c r="E41" s="24" t="n">
        <v>4</v>
      </c>
      <c r="F41" s="26">
        <f>D41*E41</f>
        <v/>
      </c>
      <c r="G41" s="24" t="n">
        <v>3</v>
      </c>
    </row>
    <row r="42">
      <c r="A42" s="12" t="inlineStr">
        <is>
          <t>Illawarra 5MW BESS (illustrative)</t>
        </is>
      </c>
      <c r="B42" s="11" t="inlineStr">
        <is>
          <t>NSW</t>
        </is>
      </c>
      <c r="C42" s="12" t="inlineStr">
        <is>
          <t>Wollongong, NSW</t>
        </is>
      </c>
      <c r="D42" s="20" t="n">
        <v>5</v>
      </c>
      <c r="E42" s="24" t="n">
        <v>2</v>
      </c>
      <c r="F42" s="26">
        <f>D42*E42</f>
        <v/>
      </c>
      <c r="G42" s="24" t="n">
        <v>2</v>
      </c>
    </row>
    <row r="43">
      <c r="A43" s="12" t="inlineStr">
        <is>
          <t>Latrobe 5MW BESS (illustrative)</t>
        </is>
      </c>
      <c r="B43" s="11" t="inlineStr">
        <is>
          <t>VIC</t>
        </is>
      </c>
      <c r="C43" s="12" t="inlineStr">
        <is>
          <t>Latrobe Valley, VIC</t>
        </is>
      </c>
      <c r="D43" s="20" t="n">
        <v>5</v>
      </c>
      <c r="E43" s="24" t="n">
        <v>2</v>
      </c>
      <c r="F43" s="26">
        <f>D43*E43</f>
        <v/>
      </c>
      <c r="G43" s="24" t="n">
        <v>2.5</v>
      </c>
    </row>
    <row r="44">
      <c r="A44" s="12" t="inlineStr">
        <is>
          <t>Western Plains 5MW BESS (illustrative)</t>
        </is>
      </c>
      <c r="B44" s="11" t="inlineStr">
        <is>
          <t>VIC</t>
        </is>
      </c>
      <c r="C44" s="12" t="inlineStr">
        <is>
          <t>Horsham, VIC</t>
        </is>
      </c>
      <c r="D44" s="20" t="n">
        <v>5</v>
      </c>
      <c r="E44" s="24" t="n">
        <v>2</v>
      </c>
      <c r="F44" s="26">
        <f>D44*E44</f>
        <v/>
      </c>
      <c r="G44" s="24" t="n">
        <v>2</v>
      </c>
    </row>
    <row r="45">
      <c r="A45" s="12" t="inlineStr">
        <is>
          <t>Mid-North 5MW BESS (illustrative)</t>
        </is>
      </c>
      <c r="B45" s="11" t="inlineStr">
        <is>
          <t>SA</t>
        </is>
      </c>
      <c r="C45" s="12" t="inlineStr">
        <is>
          <t>Port Pirie, SA</t>
        </is>
      </c>
      <c r="D45" s="20" t="n">
        <v>5</v>
      </c>
      <c r="E45" s="24" t="n">
        <v>2</v>
      </c>
      <c r="F45" s="26">
        <f>D45*E45</f>
        <v/>
      </c>
      <c r="G45" s="24" t="n">
        <v>2.5</v>
      </c>
    </row>
    <row r="47">
      <c r="A47" s="6" t="inlineStr">
        <is>
          <t>Exit value — PRIMARY basis (forward-pipeline rNPV + retained cash − debt)</t>
        </is>
      </c>
    </row>
    <row r="48">
      <c r="A48" s="15" t="inlineStr">
        <is>
          <t>Pipeline depth at exit (projects in flight)</t>
        </is>
      </c>
      <c r="C48" s="20" t="n">
        <v>25</v>
      </c>
      <c r="D48" s="15" t="inlineStr">
        <is>
          <t>count</t>
        </is>
      </c>
      <c r="E48" s="14" t="inlineStr">
        <is>
          <t>Illustrative / the manager claim (see config)</t>
        </is>
      </c>
      <c r="F48" s="17" t="inlineStr">
        <is>
          <t>2026-06-26</t>
        </is>
      </c>
      <c r="G48" s="17" t="inlineStr">
        <is>
          <t>TO CONFIRM</t>
        </is>
      </c>
    </row>
    <row r="49">
      <c r="A49" s="15" t="inlineStr">
        <is>
          <t>Interim distribution fraction (of realised profit)</t>
        </is>
      </c>
      <c r="C49" s="16" t="n">
        <v>0</v>
      </c>
      <c r="D49" s="15" t="inlineStr">
        <is>
          <t>decimal</t>
        </is>
      </c>
      <c r="E49" s="14" t="inlineStr">
        <is>
          <t>Illustrative / the manager claim (see config)</t>
        </is>
      </c>
      <c r="F49" s="17" t="inlineStr">
        <is>
          <t>2026-06-26</t>
        </is>
      </c>
      <c r="G49" s="17" t="inlineStr">
        <is>
          <t>TO CONFIRM</t>
        </is>
      </c>
    </row>
    <row r="50">
      <c r="A50" s="15" t="inlineStr">
        <is>
          <t>Debt at exit</t>
        </is>
      </c>
      <c r="C50" s="19" t="n">
        <v>0</v>
      </c>
      <c r="D50" s="15" t="inlineStr">
        <is>
          <t>$m</t>
        </is>
      </c>
      <c r="E50" s="14" t="inlineStr">
        <is>
          <t>Illustrative / the manager claim (see config)</t>
        </is>
      </c>
      <c r="F50" s="17" t="inlineStr">
        <is>
          <t>2026-06-26</t>
        </is>
      </c>
      <c r="G50" s="17" t="inlineStr">
        <is>
          <t>TO CONFIRM</t>
        </is>
      </c>
    </row>
    <row r="51">
      <c r="A51" s="6" t="inlineStr">
        <is>
          <t>Exit value CROSS-CHECK — earnings multiple on forward run-rate profit</t>
        </is>
      </c>
    </row>
    <row r="52">
      <c r="A52" s="15" t="inlineStr">
        <is>
          <t>Cross-check multiple — low</t>
        </is>
      </c>
      <c r="C52" s="27" t="n">
        <v>3</v>
      </c>
      <c r="D52" s="15" t="inlineStr">
        <is>
          <t>multiple</t>
        </is>
      </c>
      <c r="E52" s="14" t="inlineStr">
        <is>
          <t>Illustrative / the manager claim (see config)</t>
        </is>
      </c>
      <c r="F52" s="17" t="inlineStr">
        <is>
          <t>2026-06-26</t>
        </is>
      </c>
      <c r="G52" s="17" t="inlineStr">
        <is>
          <t>TO CONFIRM</t>
        </is>
      </c>
    </row>
    <row r="53">
      <c r="A53" s="15" t="inlineStr">
        <is>
          <t>Cross-check multiple — base</t>
        </is>
      </c>
      <c r="C53" s="27" t="n">
        <v>5</v>
      </c>
      <c r="D53" s="15" t="inlineStr">
        <is>
          <t>multiple</t>
        </is>
      </c>
      <c r="E53" s="14" t="inlineStr">
        <is>
          <t>Illustrative / the manager claim (see config)</t>
        </is>
      </c>
      <c r="F53" s="17" t="inlineStr">
        <is>
          <t>2026-06-26</t>
        </is>
      </c>
      <c r="G53" s="17" t="inlineStr">
        <is>
          <t>TO CONFIRM</t>
        </is>
      </c>
    </row>
    <row r="54">
      <c r="A54" s="15" t="inlineStr">
        <is>
          <t>Cross-check multiple — high</t>
        </is>
      </c>
      <c r="C54" s="27" t="n">
        <v>7</v>
      </c>
      <c r="D54" s="15" t="inlineStr">
        <is>
          <t>multiple</t>
        </is>
      </c>
      <c r="E54" s="14" t="inlineStr">
        <is>
          <t>Illustrative / the manager claim (see config)</t>
        </is>
      </c>
      <c r="F54" s="17" t="inlineStr">
        <is>
          <t>2026-06-26</t>
        </is>
      </c>
      <c r="G54" s="17" t="inlineStr">
        <is>
          <t>TO CONFIRM</t>
        </is>
      </c>
    </row>
    <row r="56">
      <c r="A56" s="6" t="inlineStr">
        <is>
          <t>Input provenance flags (change5) — 1 = Independent (verified); 0 = Proposed/Placeholder</t>
        </is>
      </c>
    </row>
    <row r="57">
      <c r="A57" s="15" t="inlineStr">
        <is>
          <t>RTB $/MW verified? (feeds independent rNPV)</t>
        </is>
      </c>
      <c r="C57" s="20" t="n">
        <v>0</v>
      </c>
    </row>
    <row r="58">
      <c r="A58" s="15" t="inlineStr">
        <is>
          <t>Dev cost verified? (feeds independent rNPV)</t>
        </is>
      </c>
      <c r="C58" s="20" t="n">
        <v>0</v>
      </c>
    </row>
    <row r="59">
      <c r="A59" s="15" t="inlineStr">
        <is>
          <t>Provenance tagged &amp; disclosed?</t>
        </is>
      </c>
      <c r="C59" s="20" t="n">
        <v>1</v>
      </c>
    </row>
    <row r="60">
      <c r="A60" s="14" t="inlineStr">
        <is>
          <t>RTB $/MW and dev cost are the manager's UNVERIFIED claims (Proposed) — verify against a primary source (comparable RTB sales; bottom-up costs) and set the flag to 1 before treating the rNPV as independent.</t>
        </is>
      </c>
    </row>
    <row r="62">
      <c r="A62" s="6" t="inlineStr">
        <is>
          <t>Scenario driver values (by case) — single source; the Scenarios tab links here</t>
        </is>
      </c>
    </row>
    <row r="63">
      <c r="A63" s="8" t="inlineStr">
        <is>
          <t>Driver</t>
        </is>
      </c>
      <c r="B63" s="8" t="inlineStr">
        <is>
          <t>Conservative</t>
        </is>
      </c>
      <c r="C63" s="8" t="inlineStr">
        <is>
          <t>Base</t>
        </is>
      </c>
      <c r="D63" s="8" t="inlineStr">
        <is>
          <t>Ideal</t>
        </is>
      </c>
    </row>
    <row r="64">
      <c r="A64" s="15" t="inlineStr">
        <is>
          <t>Development-approval rate (DA gate — 40/65/80%)</t>
        </is>
      </c>
      <c r="B64" s="25" t="n">
        <v>0.4</v>
      </c>
      <c r="C64" s="25" t="n">
        <v>0.65</v>
      </c>
      <c r="D64" s="25" t="n">
        <v>0.8</v>
      </c>
    </row>
    <row r="65">
      <c r="A65" s="15" t="inlineStr">
        <is>
          <t>RTB price multiplier</t>
        </is>
      </c>
      <c r="B65" s="28" t="n">
        <v>0.85</v>
      </c>
      <c r="C65" s="28" t="n">
        <v>1</v>
      </c>
      <c r="D65" s="28" t="n">
        <v>1.15</v>
      </c>
    </row>
    <row r="66">
      <c r="A66" s="15" t="inlineStr">
        <is>
          <t>Dev cost multiplier</t>
        </is>
      </c>
      <c r="B66" s="28" t="n">
        <v>1.05</v>
      </c>
      <c r="C66" s="28" t="n">
        <v>1</v>
      </c>
      <c r="D66" s="28" t="n">
        <v>0.97</v>
      </c>
    </row>
    <row r="67">
      <c r="A67" s="15" t="inlineStr">
        <is>
          <t>First-Chicago weight (by case)</t>
        </is>
      </c>
      <c r="B67" s="25" t="n">
        <v>0.3</v>
      </c>
      <c r="C67" s="25" t="n">
        <v>0.5</v>
      </c>
      <c r="D67" s="25" t="n">
        <v>0.2</v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B0F0"/>
    <outlinePr summaryBelow="1" summaryRight="1"/>
    <pageSetUpPr/>
  </sheetPr>
  <dimension ref="A1:J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TIMELINE — built once; every sheet links here</t>
        </is>
      </c>
      <c r="J1" s="2" t="inlineStr">
        <is>
          <t>↩ Contents</t>
        </is>
      </c>
    </row>
    <row r="2">
      <c r="A2" s="15" t="inlineStr">
        <is>
          <t>Base year</t>
        </is>
      </c>
      <c r="B2" s="20" t="n">
        <v>2026</v>
      </c>
    </row>
    <row r="3">
      <c r="A3" s="15" t="inlineStr">
        <is>
          <t>Period number</t>
        </is>
      </c>
      <c r="B3" s="29" t="n">
        <v>0</v>
      </c>
      <c r="C3" s="29" t="n">
        <v>1</v>
      </c>
      <c r="D3" s="29" t="n">
        <v>2</v>
      </c>
      <c r="E3" s="29" t="n">
        <v>3</v>
      </c>
    </row>
    <row r="4">
      <c r="A4" s="15" t="inlineStr">
        <is>
          <t>Year</t>
        </is>
      </c>
      <c r="B4" s="30">
        <f>$B$2+B3</f>
        <v/>
      </c>
      <c r="C4" s="30">
        <f>$B$2+C3</f>
        <v/>
      </c>
      <c r="D4" s="30">
        <f>$B$2+D3</f>
        <v/>
      </c>
      <c r="E4" s="30">
        <f>$B$2+E3</f>
        <v/>
      </c>
    </row>
    <row r="5">
      <c r="A5" s="15" t="inlineStr">
        <is>
          <t>Discount factor @ live discount</t>
        </is>
      </c>
      <c r="B5" s="31">
        <f>IFERROR(1/(1+'Scenarios'!$E$9)^B3,0)</f>
        <v/>
      </c>
      <c r="C5" s="31">
        <f>IFERROR(1/(1+'Scenarios'!$E$9)^C3,0)</f>
        <v/>
      </c>
      <c r="D5" s="31">
        <f>IFERROR(1/(1+'Scenarios'!$E$9)^D3,0)</f>
        <v/>
      </c>
      <c r="E5" s="31">
        <f>IFERROR(1/(1+'Scenarios'!$E$9)^E3,0)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030A0"/>
    <outlinePr summaryBelow="1" summaryRight="1"/>
    <pageSetUpPr/>
  </sheetPr>
  <dimension ref="A1:J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SCENARIOS — one switch drives the live case (CHOOSE)</t>
        </is>
      </c>
      <c r="J1" s="2" t="inlineStr">
        <is>
          <t>↩ Contents</t>
        </is>
      </c>
    </row>
    <row r="2">
      <c r="A2" s="3" t="inlineStr">
        <is>
          <t>Scenario switch  (1=Conservative 2=Base 3=Ideal)</t>
        </is>
      </c>
      <c r="B2" s="32" t="n">
        <v>2</v>
      </c>
    </row>
    <row r="3">
      <c r="A3" s="3" t="inlineStr">
        <is>
          <t>Active scenario</t>
        </is>
      </c>
      <c r="B3" s="3">
        <f>CHOOSE('Scenarios'!$B$2,"Conservative","Base","Ideal")</f>
        <v/>
      </c>
    </row>
    <row r="4">
      <c r="A4" s="8" t="inlineStr">
        <is>
          <t>Driver</t>
        </is>
      </c>
      <c r="B4" s="8" t="inlineStr">
        <is>
          <t>Conservative</t>
        </is>
      </c>
      <c r="C4" s="8" t="inlineStr">
        <is>
          <t>Base</t>
        </is>
      </c>
      <c r="D4" s="8" t="inlineStr">
        <is>
          <t>Ideal</t>
        </is>
      </c>
      <c r="E4" s="8" t="inlineStr">
        <is>
          <t>Live (active)</t>
        </is>
      </c>
    </row>
    <row r="5">
      <c r="A5" s="15" t="inlineStr">
        <is>
          <t>Development-approval rate (DA gate — the 40/65/80%)</t>
        </is>
      </c>
      <c r="B5" s="33">
        <f>'Assumptions'!$B$64</f>
        <v/>
      </c>
      <c r="C5" s="33">
        <f>'Assumptions'!$C$64</f>
        <v/>
      </c>
      <c r="D5" s="33">
        <f>'Assumptions'!$D$64</f>
        <v/>
      </c>
      <c r="E5" s="18">
        <f>CHOOSE('Scenarios'!$B$2,B5,C5,D5)</f>
        <v/>
      </c>
    </row>
    <row r="6">
      <c r="A6" s="15" t="inlineStr">
        <is>
          <t>RTB price multiplier</t>
        </is>
      </c>
      <c r="B6" s="34">
        <f>'Assumptions'!$B$65</f>
        <v/>
      </c>
      <c r="C6" s="34">
        <f>'Assumptions'!$C$65</f>
        <v/>
      </c>
      <c r="D6" s="34">
        <f>'Assumptions'!$D$65</f>
        <v/>
      </c>
      <c r="E6" s="35">
        <f>CHOOSE('Scenarios'!$B$2,B6,C6,D6)</f>
        <v/>
      </c>
    </row>
    <row r="7">
      <c r="A7" s="15" t="inlineStr">
        <is>
          <t>Dev cost multiplier</t>
        </is>
      </c>
      <c r="B7" s="34">
        <f>'Assumptions'!$B$66</f>
        <v/>
      </c>
      <c r="C7" s="34">
        <f>'Assumptions'!$C$66</f>
        <v/>
      </c>
      <c r="D7" s="34">
        <f>'Assumptions'!$D$66</f>
        <v/>
      </c>
      <c r="E7" s="35">
        <f>CHOOSE('Scenarios'!$B$2,B7,C7,D7)</f>
        <v/>
      </c>
    </row>
    <row r="8"/>
    <row r="9">
      <c r="A9" s="3" t="inlineStr">
        <is>
          <t>Live discount rate (= base; scenarios don't move it)</t>
        </is>
      </c>
      <c r="E9" s="36">
        <f>'Assumptions'!$C$7</f>
        <v/>
      </c>
    </row>
    <row r="10"/>
    <row r="11">
      <c r="A11" s="6" t="inlineStr">
        <is>
          <t>First-Chicago weights</t>
        </is>
      </c>
    </row>
    <row r="12">
      <c r="A12" s="8" t="inlineStr"/>
      <c r="B12" s="8" t="inlineStr">
        <is>
          <t>Conservative</t>
        </is>
      </c>
      <c r="C12" s="8" t="inlineStr">
        <is>
          <t>Base</t>
        </is>
      </c>
      <c r="D12" s="8" t="inlineStr">
        <is>
          <t>Ideal</t>
        </is>
      </c>
      <c r="E12" s="8" t="inlineStr">
        <is>
          <t>Sum</t>
        </is>
      </c>
    </row>
    <row r="13">
      <c r="A13" s="15" t="inlineStr">
        <is>
          <t>Weight</t>
        </is>
      </c>
      <c r="B13" s="33">
        <f>'Assumptions'!$B$67</f>
        <v/>
      </c>
      <c r="C13" s="33">
        <f>'Assumptions'!$C$67</f>
        <v/>
      </c>
      <c r="D13" s="33">
        <f>'Assumptions'!$D$67</f>
        <v/>
      </c>
      <c r="E13" s="18">
        <f>SUM(B13:D13)</f>
        <v/>
      </c>
    </row>
    <row r="14"/>
    <row r="15">
      <c r="A15" s="14" t="inlineStr">
        <is>
          <t>The 40/65/80% are the DEVELOPMENT-APPROVAL gate ONLY (the manager's deck). True flip success = development approval x grid connection x sale — far below 65% (see Calc_Survival). The switch moves ONLY the DA gate; connection and sale are fixed public benchmarks. Scenarios are the analyst's to OWN. The driver VALUES live on the Assumptions tab (the single source); this tab links to them and holds only the switch + live case.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FFFF"/>
    <outlinePr summaryBelow="1" summaryRight="1"/>
    <pageSetUpPr/>
  </sheetPr>
  <dimension ref="A1:J1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8" customWidth="1" min="3" max="3"/>
  </cols>
  <sheetData>
    <row r="1">
      <c r="A1" s="1" t="inlineStr">
        <is>
          <t>CALC — SURVIVAL GATES (each separate; flip success = their product)</t>
        </is>
      </c>
      <c r="J1" s="2" t="inlineStr">
        <is>
          <t>↩ Contents</t>
        </is>
      </c>
    </row>
    <row r="2">
      <c r="A2" s="14" t="inlineStr">
        <is>
          <t>The manager's 40/65/80% are the DEVELOPMENT-APPROVAL gate ONLY. True develop-and-flip success = development approval x grid connection x sale — a multi-period survival / probability-of-default curve. The DA gate is LIVE from the scenario switch; grid connection and sale are fixed public benchmarks.</t>
        </is>
      </c>
    </row>
    <row r="3">
      <c r="A3" s="8" t="inlineStr">
        <is>
          <t>Gate</t>
        </is>
      </c>
      <c r="B3" s="8" t="inlineStr">
        <is>
          <t>Probability</t>
        </is>
      </c>
      <c r="C3" s="8" t="inlineStr">
        <is>
          <t>Cumulative survival</t>
        </is>
      </c>
    </row>
    <row r="4">
      <c r="A4" s="15" t="inlineStr">
        <is>
          <t>Development approval (live scenario DA gate)</t>
        </is>
      </c>
      <c r="B4" s="37">
        <f>'Scenarios'!$E$5</f>
        <v/>
      </c>
      <c r="C4" s="38">
        <f>B4</f>
        <v/>
      </c>
    </row>
    <row r="5">
      <c r="A5" s="15" t="inlineStr">
        <is>
          <t>Grid connection — RTB rights (agreement + GPS)</t>
        </is>
      </c>
      <c r="B5" s="37">
        <f>'Assumptions'!$C$27</f>
        <v/>
      </c>
      <c r="C5" s="38">
        <f>C4*B5</f>
        <v/>
      </c>
    </row>
    <row r="6">
      <c r="A6" s="15" t="inlineStr">
        <is>
          <t>Reach sale (flip exit)</t>
        </is>
      </c>
      <c r="B6" s="37">
        <f>'Assumptions'!$C$28</f>
        <v/>
      </c>
      <c r="C6" s="38">
        <f>C5*B6</f>
        <v/>
      </c>
    </row>
    <row r="7">
      <c r="A7" s="3" t="inlineStr">
        <is>
          <t>LIVE flip success (DA x connection x sale)</t>
        </is>
      </c>
      <c r="C7" s="39">
        <f>C6</f>
        <v/>
      </c>
    </row>
    <row r="8"/>
    <row r="9">
      <c r="A9" s="15" t="inlineStr">
        <is>
          <t>Public-benchmark development approval</t>
        </is>
      </c>
      <c r="C9" s="37">
        <f>'Assumptions'!$C$26</f>
        <v/>
      </c>
    </row>
    <row r="10">
      <c r="A10" s="3" t="inlineStr">
        <is>
          <t>Independent flip success (benchmark DA x conn x sale)</t>
        </is>
      </c>
      <c r="C10" s="18">
        <f>C9*'Assumptions'!$C$27*'Assumptions'!$C$28</f>
        <v/>
      </c>
    </row>
    <row r="11"/>
    <row r="12">
      <c r="A12" s="15" t="inlineStr">
        <is>
          <t>Manager's headline DA rate (Base — the '65%')</t>
        </is>
      </c>
      <c r="C12" s="37">
        <f>'Scenarios'!$C$5</f>
        <v/>
      </c>
    </row>
    <row r="13">
      <c r="A13" s="3" t="inlineStr">
        <is>
          <t>True flip success at that DA (DA x conn x sale)</t>
        </is>
      </c>
      <c r="C13" s="18">
        <f>'Scenarios'!$C$5*'Assumptions'!$C$27*'Assumptions'!$C$28</f>
        <v/>
      </c>
    </row>
    <row r="14">
      <c r="C14" s="40">
        <f>IF(C13&lt;C12,"FLAG: 65% is the DA gate only","ok")</f>
        <v/>
      </c>
    </row>
    <row r="15">
      <c r="A15" s="14" t="inlineStr">
        <is>
          <t>The 65% headline is the approval gate alone; after grid connection (~70%) and sale (~80%) the true flip success is ~36%. The DA gate is the master return driver — the scenarios move it 40/65/80%. The sub-5MW AEMO registration exemption MAY lift small-distribution success — verify per state.</t>
        </is>
      </c>
    </row>
    <row r="16"/>
    <row r="17">
      <c r="A17" s="14" t="inlineStr">
        <is>
          <t>Grid connection = RTB-stage connection RIGHTS: the connection AGREEMENT + Generator Performance Standards (GPS) that make a project ready-to-build (AEMO Scorecard 'registration / executed connection agreement' stage) — NOT energisation/commissioning of a built battery (a flip sells pre-construction). 70% is a benchmark [[TO CONFIRM]].</t>
        </is>
      </c>
    </row>
    <row r="18">
      <c r="A18" s="14" t="inlineStr">
        <is>
          <t>Gates 2 &amp; 3 are INDEPENDENT (no double-count): gate 2 = did the project SECURE connection rights/GPS; gate 3 = given a genuinely RTB project, did a BUYER pay RTB price (demand/price risk, not connection again).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FFFF"/>
    <outlinePr summaryBelow="1" summaryRight="1"/>
    <pageSetUpPr/>
  </sheetPr>
  <dimension ref="A1:N1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11" customWidth="1" min="5" max="5"/>
    <col width="8" customWidth="1" min="6" max="6"/>
    <col width="11" customWidth="1" min="7" max="7"/>
    <col width="11" customWidth="1" min="8" max="8"/>
    <col width="11" customWidth="1" min="9" max="9"/>
    <col width="8" customWidth="1" min="10" max="10"/>
    <col width="11" customWidth="1" min="11" max="11"/>
    <col width="10" customWidth="1" min="12" max="12"/>
    <col width="11" customWidth="1" min="13" max="13"/>
    <col width="11" customWidth="1" min="14" max="14"/>
  </cols>
  <sheetData>
    <row r="1">
      <c r="A1" s="1" t="inlineStr">
        <is>
          <t>CALC — PER-PROJECT RISK-ADJUSTED NAV (rNPV)</t>
        </is>
      </c>
      <c r="J1" s="2" t="inlineStr">
        <is>
          <t>↩ Contents</t>
        </is>
      </c>
    </row>
    <row r="2">
      <c r="A2" s="14" t="inlineStr">
        <is>
          <t>Per project: RTB sale − DEVELOPMENT cost = margin → × cumulative success → discounted. Cost is DEV ONLY (the fund sells RTB; the buyer funds construction). All figures AUD $m unless stated.</t>
        </is>
      </c>
    </row>
    <row r="3">
      <c r="A3" s="8" t="inlineStr">
        <is>
          <t>Project</t>
        </is>
      </c>
      <c r="B3" s="8" t="inlineStr">
        <is>
          <t>State</t>
        </is>
      </c>
      <c r="C3" s="8" t="inlineStr">
        <is>
          <t>MW</t>
        </is>
      </c>
      <c r="D3" s="8" t="inlineStr">
        <is>
          <t>Years</t>
        </is>
      </c>
      <c r="E3" s="8" t="inlineStr">
        <is>
          <t>RTB $/MW</t>
        </is>
      </c>
      <c r="F3" s="8" t="inlineStr">
        <is>
          <t>Sale mult</t>
        </is>
      </c>
      <c r="G3" s="8" t="inlineStr">
        <is>
          <t>Sale $m</t>
        </is>
      </c>
      <c r="H3" s="8" t="inlineStr">
        <is>
          <t>Dev cost $m</t>
        </is>
      </c>
      <c r="I3" s="8" t="inlineStr">
        <is>
          <t>Margin $m</t>
        </is>
      </c>
      <c r="J3" s="8" t="inlineStr">
        <is>
          <t>Cum P</t>
        </is>
      </c>
      <c r="K3" s="8" t="inlineStr">
        <is>
          <t>Risk-adj $m</t>
        </is>
      </c>
      <c r="L3" s="8" t="inlineStr">
        <is>
          <t>Disc factor</t>
        </is>
      </c>
      <c r="M3" s="8" t="inlineStr">
        <is>
          <t>PV $m</t>
        </is>
      </c>
      <c r="N3" s="8" t="inlineStr">
        <is>
          <t>Sale@1x $m</t>
        </is>
      </c>
    </row>
    <row r="4">
      <c r="A4" s="2">
        <f>'Assumptions'!$A$40</f>
        <v/>
      </c>
      <c r="B4" s="41">
        <f>'Assumptions'!$B$40</f>
        <v/>
      </c>
      <c r="C4" s="42">
        <f>'Assumptions'!$D$40</f>
        <v/>
      </c>
      <c r="D4" s="43">
        <f>'Assumptions'!$G$40</f>
        <v/>
      </c>
      <c r="E4" s="44">
        <f>IFERROR(INDEX('Assumptions'!$C$30:$C$32,MATCH(B4,'Assumptions'!$A$30:$A$32,0)),0)</f>
        <v/>
      </c>
      <c r="F4" s="45">
        <f>'Scenarios'!$E$6</f>
        <v/>
      </c>
      <c r="G4" s="46">
        <f>C4*E4*F4</f>
        <v/>
      </c>
      <c r="H4" s="46">
        <f>'Assumptions'!$C$21*'Scenarios'!$E$7</f>
        <v/>
      </c>
      <c r="I4" s="46">
        <f>G4-H4</f>
        <v/>
      </c>
      <c r="J4" s="37">
        <f>'Calc_Survival'!$C$7</f>
        <v/>
      </c>
      <c r="K4" s="46">
        <f>I4*J4</f>
        <v/>
      </c>
      <c r="L4" s="47">
        <f>IFERROR(1/(1+'Scenarios'!$E$9)^D4,0)</f>
        <v/>
      </c>
      <c r="M4" s="46">
        <f>K4*L4</f>
        <v/>
      </c>
      <c r="N4" s="46">
        <f>C4*E4</f>
        <v/>
      </c>
    </row>
    <row r="5">
      <c r="A5" s="2">
        <f>'Assumptions'!$A$41</f>
        <v/>
      </c>
      <c r="B5" s="41">
        <f>'Assumptions'!$B$41</f>
        <v/>
      </c>
      <c r="C5" s="42">
        <f>'Assumptions'!$D$41</f>
        <v/>
      </c>
      <c r="D5" s="43">
        <f>'Assumptions'!$G$41</f>
        <v/>
      </c>
      <c r="E5" s="44">
        <f>IFERROR(INDEX('Assumptions'!$C$30:$C$32,MATCH(B5,'Assumptions'!$A$30:$A$32,0)),0)</f>
        <v/>
      </c>
      <c r="F5" s="45">
        <f>'Scenarios'!$E$6</f>
        <v/>
      </c>
      <c r="G5" s="46">
        <f>C5*E5*F5</f>
        <v/>
      </c>
      <c r="H5" s="46">
        <f>'Assumptions'!$C$21*'Scenarios'!$E$7</f>
        <v/>
      </c>
      <c r="I5" s="46">
        <f>G5-H5</f>
        <v/>
      </c>
      <c r="J5" s="37">
        <f>'Calc_Survival'!$C$7</f>
        <v/>
      </c>
      <c r="K5" s="46">
        <f>I5*J5</f>
        <v/>
      </c>
      <c r="L5" s="47">
        <f>IFERROR(1/(1+'Scenarios'!$E$9)^D5,0)</f>
        <v/>
      </c>
      <c r="M5" s="46">
        <f>K5*L5</f>
        <v/>
      </c>
      <c r="N5" s="46">
        <f>C5*E5</f>
        <v/>
      </c>
    </row>
    <row r="6">
      <c r="A6" s="2">
        <f>'Assumptions'!$A$42</f>
        <v/>
      </c>
      <c r="B6" s="41">
        <f>'Assumptions'!$B$42</f>
        <v/>
      </c>
      <c r="C6" s="42">
        <f>'Assumptions'!$D$42</f>
        <v/>
      </c>
      <c r="D6" s="43">
        <f>'Assumptions'!$G$42</f>
        <v/>
      </c>
      <c r="E6" s="44">
        <f>IFERROR(INDEX('Assumptions'!$C$30:$C$32,MATCH(B6,'Assumptions'!$A$30:$A$32,0)),0)</f>
        <v/>
      </c>
      <c r="F6" s="45">
        <f>'Scenarios'!$E$6</f>
        <v/>
      </c>
      <c r="G6" s="46">
        <f>C6*E6*F6</f>
        <v/>
      </c>
      <c r="H6" s="46">
        <f>'Assumptions'!$C$21*'Scenarios'!$E$7</f>
        <v/>
      </c>
      <c r="I6" s="46">
        <f>G6-H6</f>
        <v/>
      </c>
      <c r="J6" s="37">
        <f>'Calc_Survival'!$C$7</f>
        <v/>
      </c>
      <c r="K6" s="46">
        <f>I6*J6</f>
        <v/>
      </c>
      <c r="L6" s="47">
        <f>IFERROR(1/(1+'Scenarios'!$E$9)^D6,0)</f>
        <v/>
      </c>
      <c r="M6" s="46">
        <f>K6*L6</f>
        <v/>
      </c>
      <c r="N6" s="46">
        <f>C6*E6</f>
        <v/>
      </c>
    </row>
    <row r="7">
      <c r="A7" s="2">
        <f>'Assumptions'!$A$43</f>
        <v/>
      </c>
      <c r="B7" s="41">
        <f>'Assumptions'!$B$43</f>
        <v/>
      </c>
      <c r="C7" s="42">
        <f>'Assumptions'!$D$43</f>
        <v/>
      </c>
      <c r="D7" s="43">
        <f>'Assumptions'!$G$43</f>
        <v/>
      </c>
      <c r="E7" s="44">
        <f>IFERROR(INDEX('Assumptions'!$C$30:$C$32,MATCH(B7,'Assumptions'!$A$30:$A$32,0)),0)</f>
        <v/>
      </c>
      <c r="F7" s="45">
        <f>'Scenarios'!$E$6</f>
        <v/>
      </c>
      <c r="G7" s="46">
        <f>C7*E7*F7</f>
        <v/>
      </c>
      <c r="H7" s="46">
        <f>'Assumptions'!$C$21*'Scenarios'!$E$7</f>
        <v/>
      </c>
      <c r="I7" s="46">
        <f>G7-H7</f>
        <v/>
      </c>
      <c r="J7" s="37">
        <f>'Calc_Survival'!$C$7</f>
        <v/>
      </c>
      <c r="K7" s="46">
        <f>I7*J7</f>
        <v/>
      </c>
      <c r="L7" s="47">
        <f>IFERROR(1/(1+'Scenarios'!$E$9)^D7,0)</f>
        <v/>
      </c>
      <c r="M7" s="46">
        <f>K7*L7</f>
        <v/>
      </c>
      <c r="N7" s="46">
        <f>C7*E7</f>
        <v/>
      </c>
    </row>
    <row r="8">
      <c r="A8" s="2">
        <f>'Assumptions'!$A$44</f>
        <v/>
      </c>
      <c r="B8" s="41">
        <f>'Assumptions'!$B$44</f>
        <v/>
      </c>
      <c r="C8" s="42">
        <f>'Assumptions'!$D$44</f>
        <v/>
      </c>
      <c r="D8" s="43">
        <f>'Assumptions'!$G$44</f>
        <v/>
      </c>
      <c r="E8" s="44">
        <f>IFERROR(INDEX('Assumptions'!$C$30:$C$32,MATCH(B8,'Assumptions'!$A$30:$A$32,0)),0)</f>
        <v/>
      </c>
      <c r="F8" s="45">
        <f>'Scenarios'!$E$6</f>
        <v/>
      </c>
      <c r="G8" s="46">
        <f>C8*E8*F8</f>
        <v/>
      </c>
      <c r="H8" s="46">
        <f>'Assumptions'!$C$21*'Scenarios'!$E$7</f>
        <v/>
      </c>
      <c r="I8" s="46">
        <f>G8-H8</f>
        <v/>
      </c>
      <c r="J8" s="37">
        <f>'Calc_Survival'!$C$7</f>
        <v/>
      </c>
      <c r="K8" s="46">
        <f>I8*J8</f>
        <v/>
      </c>
      <c r="L8" s="47">
        <f>IFERROR(1/(1+'Scenarios'!$E$9)^D8,0)</f>
        <v/>
      </c>
      <c r="M8" s="46">
        <f>K8*L8</f>
        <v/>
      </c>
      <c r="N8" s="46">
        <f>C8*E8</f>
        <v/>
      </c>
    </row>
    <row r="9">
      <c r="A9" s="2">
        <f>'Assumptions'!$A$45</f>
        <v/>
      </c>
      <c r="B9" s="41">
        <f>'Assumptions'!$B$45</f>
        <v/>
      </c>
      <c r="C9" s="42">
        <f>'Assumptions'!$D$45</f>
        <v/>
      </c>
      <c r="D9" s="43">
        <f>'Assumptions'!$G$45</f>
        <v/>
      </c>
      <c r="E9" s="44">
        <f>IFERROR(INDEX('Assumptions'!$C$30:$C$32,MATCH(B9,'Assumptions'!$A$30:$A$32,0)),0)</f>
        <v/>
      </c>
      <c r="F9" s="45">
        <f>'Scenarios'!$E$6</f>
        <v/>
      </c>
      <c r="G9" s="46">
        <f>C9*E9*F9</f>
        <v/>
      </c>
      <c r="H9" s="46">
        <f>'Assumptions'!$C$21*'Scenarios'!$E$7</f>
        <v/>
      </c>
      <c r="I9" s="46">
        <f>G9-H9</f>
        <v/>
      </c>
      <c r="J9" s="37">
        <f>'Calc_Survival'!$C$7</f>
        <v/>
      </c>
      <c r="K9" s="46">
        <f>I9*J9</f>
        <v/>
      </c>
      <c r="L9" s="47">
        <f>IFERROR(1/(1+'Scenarios'!$E$9)^D9,0)</f>
        <v/>
      </c>
      <c r="M9" s="46">
        <f>K9*L9</f>
        <v/>
      </c>
      <c r="N9" s="46">
        <f>C9*E9</f>
        <v/>
      </c>
    </row>
    <row r="10">
      <c r="A10" s="3" t="inlineStr">
        <is>
          <t>Pipeline total (representative)</t>
        </is>
      </c>
      <c r="C10" s="48">
        <f>SUM(C4:C9)</f>
        <v/>
      </c>
      <c r="G10" s="49">
        <f>SUM(G4:G9)</f>
        <v/>
      </c>
      <c r="H10" s="49">
        <f>SUM(H4:H9)</f>
        <v/>
      </c>
      <c r="M10" s="49">
        <f>SUM(M4:M9)</f>
        <v/>
      </c>
    </row>
    <row r="11">
      <c r="A11" s="3" t="inlineStr">
        <is>
          <t>Blended RTB sale per project (@1x)</t>
        </is>
      </c>
      <c r="M11" s="50">
        <f>AVERAGE('Calc_Project_rNPV'!$N$4:$N$9)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FFFF"/>
    <outlinePr summaryBelow="1" summaryRight="1"/>
    <pageSetUpPr/>
  </sheetPr>
  <dimension ref="A1:J2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4" customWidth="1" min="2" max="2"/>
    <col width="14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CALC — THE COMPANY'S DEVELOPMENT PROGRAMME &amp; EXIT EQUITY VALUE (live scenario)</t>
        </is>
      </c>
      <c r="J1" s="2" t="inlineStr">
        <is>
          <t>↩ Contents</t>
        </is>
      </c>
    </row>
    <row r="2">
      <c r="A2" s="14" t="inlineStr">
        <is>
          <t>A develop-and-flip company is a development PLATFORM, so a buyer pays for its FORWARD pipeline, not past profit. PRIMARY exit equity = forward-pipeline rNPV (projects still in flight at exit) + cash RETAINED on the balance sheet − debt. Realised programme profit feeds RETAINED cash (counted once, at face value — never at a multiple). The earnings multiple below is a CROSS-CHECK only. All figures AUD $m.</t>
        </is>
      </c>
    </row>
    <row r="3"/>
    <row r="4">
      <c r="A4" s="6" t="inlineStr">
        <is>
          <t>Development funnel (live scenario)</t>
        </is>
      </c>
    </row>
    <row r="5">
      <c r="A5" s="15" t="inlineStr">
        <is>
          <t>Live flip success (DA × conn × sale)</t>
        </is>
      </c>
      <c r="C5" s="37">
        <f>'Calc_Survival'!$C$7</f>
        <v/>
      </c>
    </row>
    <row r="6">
      <c r="A6" s="15" t="inlineStr">
        <is>
          <t>Projects target (delivered &amp; sold)</t>
        </is>
      </c>
      <c r="C6" s="42">
        <f>'Assumptions'!$C$10</f>
        <v/>
      </c>
    </row>
    <row r="7">
      <c r="A7" s="15" t="inlineStr">
        <is>
          <t>Projects started (funnel)</t>
        </is>
      </c>
      <c r="C7" s="51">
        <f>IFERROR(C6/C5,0)</f>
        <v/>
      </c>
    </row>
    <row r="8">
      <c r="A8" s="15" t="inlineStr">
        <is>
          <t>Projects failed (dropouts)</t>
        </is>
      </c>
      <c r="C8" s="51">
        <f>C7-C6</f>
        <v/>
      </c>
    </row>
    <row r="9">
      <c r="A9" s="15" t="inlineStr">
        <is>
          <t>Dev cost per project (live)</t>
        </is>
      </c>
      <c r="C9" s="46">
        <f>'Assumptions'!$C$21*'Scenarios'!$E$7</f>
        <v/>
      </c>
    </row>
    <row r="10">
      <c r="A10" s="3" t="inlineStr">
        <is>
          <t>Total development cost</t>
        </is>
      </c>
      <c r="C10" s="52">
        <f>C6*C9+C8*'Assumptions'!$C$22*C9</f>
        <v/>
      </c>
    </row>
    <row r="11">
      <c r="A11" s="6" t="inlineStr">
        <is>
          <t>Proceeds &amp; realised programme profit</t>
        </is>
      </c>
    </row>
    <row r="12">
      <c r="A12" s="15" t="inlineStr">
        <is>
          <t>Blended RTB sale per project (live)</t>
        </is>
      </c>
      <c r="C12" s="46">
        <f>'Calc_Project_rNPV'!$M$11*'Scenarios'!$E$6</f>
        <v/>
      </c>
    </row>
    <row r="13">
      <c r="A13" s="3" t="inlineStr">
        <is>
          <t>Gross proceeds</t>
        </is>
      </c>
      <c r="C13" s="52">
        <f>C6*C12</f>
        <v/>
      </c>
    </row>
    <row r="14">
      <c r="A14" s="3" t="inlineStr">
        <is>
          <t>Realised net programme profit (gross − total dev cost)</t>
        </is>
      </c>
      <c r="C14" s="52">
        <f>C13-C10</f>
        <v/>
      </c>
    </row>
    <row r="15">
      <c r="A15" s="15" t="inlineStr">
        <is>
          <t>Forward run-rate annual dev profit (= realised ÷ term)</t>
        </is>
      </c>
      <c r="C15" s="46">
        <f>IFERROR(C14/'Assumptions'!$C$11,0)</f>
        <v/>
      </c>
    </row>
    <row r="16">
      <c r="A16" s="6" t="inlineStr">
        <is>
          <t>Company exit equity — PRIMARY (forward-pipeline rNPV + retained − debt)</t>
        </is>
      </c>
    </row>
    <row r="17">
      <c r="A17" s="15" t="inlineStr">
        <is>
          <t>Avg years to sale (pipeline)</t>
        </is>
      </c>
      <c r="C17" s="51">
        <f>AVERAGE('Calc_Project_rNPV'!$D$4:$D$9)</f>
        <v/>
      </c>
    </row>
    <row r="18">
      <c r="A18" s="15" t="inlineStr">
        <is>
          <t>Discount factor @ base over avg years</t>
        </is>
      </c>
      <c r="C18" s="47">
        <f>1/(1+'Assumptions'!$C$7)^C17</f>
        <v/>
      </c>
    </row>
    <row r="19">
      <c r="A19" s="15" t="inlineStr">
        <is>
          <t>Per-project rNPV (blended; live scenario)</t>
        </is>
      </c>
      <c r="C19" s="46">
        <f>('Calc_Project_rNPV'!$M$11*'Scenarios'!$E$6-C9)*C5*C18</f>
        <v/>
      </c>
    </row>
    <row r="20">
      <c r="A20" s="15" t="inlineStr">
        <is>
          <t>Pipeline depth at exit (projects in flight)</t>
        </is>
      </c>
      <c r="C20" s="42">
        <f>'Assumptions'!$C$48</f>
        <v/>
      </c>
    </row>
    <row r="21">
      <c r="A21" s="3" t="inlineStr">
        <is>
          <t>Forward pipeline rNPV at exit (= depth × per-project)</t>
        </is>
      </c>
      <c r="C21" s="52">
        <f>C20*C19</f>
        <v/>
      </c>
    </row>
    <row r="22">
      <c r="A22" s="15" t="inlineStr">
        <is>
          <t>Net cash retained at exit (= MAX(0,realised) × (1−dist frac))</t>
        </is>
      </c>
      <c r="C22" s="52">
        <f>MAX(0,C14)*(1-'Assumptions'!$C$49)</f>
        <v/>
      </c>
    </row>
    <row r="23">
      <c r="A23" s="15" t="inlineStr">
        <is>
          <t>Debt at exit</t>
        </is>
      </c>
      <c r="C23" s="53">
        <f>'Assumptions'!$C$50</f>
        <v/>
      </c>
    </row>
    <row r="24">
      <c r="A24" s="3" t="inlineStr">
        <is>
          <t>Company exit equity = forward + retained − debt</t>
        </is>
      </c>
      <c r="C24" s="54">
        <f>MAX(0,C21+C22-C23)</f>
        <v/>
      </c>
    </row>
    <row r="25">
      <c r="A25" s="6" t="inlineStr">
        <is>
          <t>Cross-check — earnings multiple on run-rate (NOT the primary number)</t>
        </is>
      </c>
    </row>
    <row r="26">
      <c r="A26" s="15" t="inlineStr">
        <is>
          <t>Cross-check exit eq — low (run-rate × low mult + retained − debt)</t>
        </is>
      </c>
      <c r="C26" s="52">
        <f>MAX(0,C15)*'Assumptions'!$C$52+C22-C23</f>
        <v/>
      </c>
    </row>
    <row r="27">
      <c r="A27" s="15" t="inlineStr">
        <is>
          <t>Cross-check exit eq — base</t>
        </is>
      </c>
      <c r="C27" s="52">
        <f>MAX(0,C15)*'Assumptions'!$C$53+C22-C23</f>
        <v/>
      </c>
    </row>
    <row r="28">
      <c r="A28" s="15" t="inlineStr">
        <is>
          <t>Cross-check exit eq — high</t>
        </is>
      </c>
      <c r="C28" s="52">
        <f>MAX(0,C15)*'Assumptions'!$C$54+C22-C23</f>
        <v/>
      </c>
    </row>
    <row r="29">
      <c r="A29" s="14" t="inlineStr">
        <is>
          <t>Primary (pipeline) vs cross-check (base mult): anchor on the more conservative pipeline basis; if they diverge materially, the multiple is more generous than the risk-adjusted forward pipeline.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2D050"/>
    <outlinePr summaryBelow="1" summaryRight="1"/>
    <pageSetUpPr/>
  </sheetPr>
  <dimension ref="A1:J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RETURNS — cap table &amp; return on OUR shares by scenario, First-Chicago, valuation range</t>
        </is>
      </c>
      <c r="J1" s="2" t="inlineStr">
        <is>
          <t>↩ Contents</t>
        </is>
      </c>
    </row>
    <row r="2">
      <c r="A2" s="14" t="inlineStr">
        <is>
          <t>We buy SHARES directly. Ownership = our investment ÷ post-money, reduced by dilution. Each scenario's company exit equity value (PRIMARY basis: forward-pipeline rNPV + retained cash − debt) flows through the cap table; our TERMINAL proceeds = the GREATER of our 1× liquidation preference or our as-converted (diluted) share, plus any INTERIM distributions (convention (b); dist fraction is a placeholder, default 0). All figures AUD $m unless stated.</t>
        </is>
      </c>
    </row>
    <row r="3">
      <c r="A3" s="6" t="inlineStr">
        <is>
          <t>Cap table (our stake)</t>
        </is>
      </c>
    </row>
    <row r="4">
      <c r="A4" s="15" t="inlineStr">
        <is>
          <t>Pre-money valuation</t>
        </is>
      </c>
      <c r="B4" s="53">
        <f>'Assumptions'!$C$13</f>
        <v/>
      </c>
    </row>
    <row r="5">
      <c r="A5" s="15" t="inlineStr">
        <is>
          <t>Our investment</t>
        </is>
      </c>
      <c r="B5" s="53">
        <f>'Assumptions'!$C$14</f>
        <v/>
      </c>
    </row>
    <row r="6">
      <c r="A6" s="3" t="inlineStr">
        <is>
          <t>Post-money = pre-money + investment</t>
        </is>
      </c>
      <c r="B6" s="55">
        <f>B4+B5</f>
        <v/>
      </c>
    </row>
    <row r="7">
      <c r="A7" s="3" t="inlineStr">
        <is>
          <t>Ownership at entry = investment ÷ post-money</t>
        </is>
      </c>
      <c r="B7" s="18">
        <f>IFERROR(B5/B6,0)</f>
        <v/>
      </c>
    </row>
    <row r="8">
      <c r="A8" s="3" t="inlineStr">
        <is>
          <t>Ownership at exit (diluted)</t>
        </is>
      </c>
      <c r="B8" s="39">
        <f>B7*(1-'Assumptions'!$C$15)*(1-'Assumptions'!$C$16)</f>
        <v/>
      </c>
    </row>
    <row r="9"/>
    <row r="10">
      <c r="A10" s="6" t="inlineStr">
        <is>
          <t>Return on OUR shares by scenario</t>
        </is>
      </c>
    </row>
    <row r="11">
      <c r="A11" s="8" t="inlineStr">
        <is>
          <t>Metric</t>
        </is>
      </c>
      <c r="B11" s="8" t="inlineStr">
        <is>
          <t>Conservative</t>
        </is>
      </c>
      <c r="C11" s="8" t="inlineStr">
        <is>
          <t>Base</t>
        </is>
      </c>
      <c r="D11" s="8" t="inlineStr">
        <is>
          <t>Ideal</t>
        </is>
      </c>
    </row>
    <row r="12">
      <c r="A12" s="15" t="inlineStr">
        <is>
          <t>Flip success (DA × conn × sale)</t>
        </is>
      </c>
      <c r="B12" s="38">
        <f>'Scenarios'!$B$5*'Assumptions'!$C$27*'Assumptions'!$C$28</f>
        <v/>
      </c>
      <c r="C12" s="38">
        <f>'Scenarios'!$C$5*'Assumptions'!$C$27*'Assumptions'!$C$28</f>
        <v/>
      </c>
      <c r="D12" s="38">
        <f>'Scenarios'!$D$5*'Assumptions'!$C$27*'Assumptions'!$C$28</f>
        <v/>
      </c>
    </row>
    <row r="13">
      <c r="A13" s="15" t="inlineStr">
        <is>
          <t>RTB price multiplier</t>
        </is>
      </c>
      <c r="B13" s="45">
        <f>'Scenarios'!$B$6</f>
        <v/>
      </c>
      <c r="C13" s="45">
        <f>'Scenarios'!$C$6</f>
        <v/>
      </c>
      <c r="D13" s="45">
        <f>'Scenarios'!$D$6</f>
        <v/>
      </c>
    </row>
    <row r="14">
      <c r="A14" s="15" t="inlineStr">
        <is>
          <t>Dev cost multiplier</t>
        </is>
      </c>
      <c r="B14" s="45">
        <f>'Scenarios'!$B$7</f>
        <v/>
      </c>
      <c r="C14" s="45">
        <f>'Scenarios'!$C$7</f>
        <v/>
      </c>
      <c r="D14" s="45">
        <f>'Scenarios'!$D$7</f>
        <v/>
      </c>
    </row>
    <row r="15">
      <c r="A15" s="15" t="inlineStr">
        <is>
          <t>Dev cost per project</t>
        </is>
      </c>
      <c r="B15" s="46">
        <f>'Assumptions'!$C$21*B14</f>
        <v/>
      </c>
      <c r="C15" s="46">
        <f>'Assumptions'!$C$21*C14</f>
        <v/>
      </c>
      <c r="D15" s="46">
        <f>'Assumptions'!$C$21*D14</f>
        <v/>
      </c>
    </row>
    <row r="16">
      <c r="A16" s="15" t="inlineStr">
        <is>
          <t>Projects started</t>
        </is>
      </c>
      <c r="B16" s="51">
        <f>IFERROR('Assumptions'!$C$10/B12,0)</f>
        <v/>
      </c>
      <c r="C16" s="51">
        <f>IFERROR('Assumptions'!$C$10/C12,0)</f>
        <v/>
      </c>
      <c r="D16" s="51">
        <f>IFERROR('Assumptions'!$C$10/D12,0)</f>
        <v/>
      </c>
    </row>
    <row r="17">
      <c r="A17" s="15" t="inlineStr">
        <is>
          <t>Projects failed</t>
        </is>
      </c>
      <c r="B17" s="51">
        <f>B16-'Assumptions'!$C$10</f>
        <v/>
      </c>
      <c r="C17" s="51">
        <f>C16-'Assumptions'!$C$10</f>
        <v/>
      </c>
      <c r="D17" s="51">
        <f>D16-'Assumptions'!$C$10</f>
        <v/>
      </c>
    </row>
    <row r="18">
      <c r="A18" s="15" t="inlineStr">
        <is>
          <t>Total dev cost</t>
        </is>
      </c>
      <c r="B18" s="52">
        <f>'Assumptions'!$C$10*B15+B17*'Assumptions'!$C$22*B15</f>
        <v/>
      </c>
      <c r="C18" s="52">
        <f>'Assumptions'!$C$10*C15+C17*'Assumptions'!$C$22*C15</f>
        <v/>
      </c>
      <c r="D18" s="52">
        <f>'Assumptions'!$C$10*D15+D17*'Assumptions'!$C$22*D15</f>
        <v/>
      </c>
    </row>
    <row r="19">
      <c r="A19" s="15" t="inlineStr">
        <is>
          <t>Gross proceeds</t>
        </is>
      </c>
      <c r="B19" s="52">
        <f>'Assumptions'!$C$10*'Calc_Project_rNPV'!$M$11*B13</f>
        <v/>
      </c>
      <c r="C19" s="52">
        <f>'Assumptions'!$C$10*'Calc_Project_rNPV'!$M$11*C13</f>
        <v/>
      </c>
      <c r="D19" s="52">
        <f>'Assumptions'!$C$10*'Calc_Project_rNPV'!$M$11*D13</f>
        <v/>
      </c>
    </row>
    <row r="20">
      <c r="A20" s="15" t="inlineStr">
        <is>
          <t>Realised net programme profit</t>
        </is>
      </c>
      <c r="B20" s="52">
        <f>B19-B18</f>
        <v/>
      </c>
      <c r="C20" s="52">
        <f>C19-C18</f>
        <v/>
      </c>
      <c r="D20" s="52">
        <f>D19-D18</f>
        <v/>
      </c>
    </row>
    <row r="21">
      <c r="A21" s="15" t="inlineStr">
        <is>
          <t>Forward pipeline rNPV at exit (depth × per-project)</t>
        </is>
      </c>
      <c r="B21" s="46">
        <f>'Assumptions'!$C$48*('Calc_Project_rNPV'!$M$11*B13-B15)*B12*'Calc_Company'!$C$18</f>
        <v/>
      </c>
      <c r="C21" s="46">
        <f>'Assumptions'!$C$48*('Calc_Project_rNPV'!$M$11*C13-C15)*C12*'Calc_Company'!$C$18</f>
        <v/>
      </c>
      <c r="D21" s="46">
        <f>'Assumptions'!$C$48*('Calc_Project_rNPV'!$M$11*D13-D15)*D12*'Calc_Company'!$C$18</f>
        <v/>
      </c>
    </row>
    <row r="22">
      <c r="A22" s="15" t="inlineStr">
        <is>
          <t>Net cash retained = MAX(0,realised)×(1−dist)</t>
        </is>
      </c>
      <c r="B22" s="46">
        <f>MAX(0,B20)*(1-'Assumptions'!$C$49)</f>
        <v/>
      </c>
      <c r="C22" s="46">
        <f>MAX(0,C20)*(1-'Assumptions'!$C$49)</f>
        <v/>
      </c>
      <c r="D22" s="46">
        <f>MAX(0,D20)*(1-'Assumptions'!$C$49)</f>
        <v/>
      </c>
    </row>
    <row r="23">
      <c r="A23" s="3" t="inlineStr">
        <is>
          <t>Company exit equity = fwd + retained − debt</t>
        </is>
      </c>
      <c r="B23" s="55">
        <f>MAX(0,B21+B22-'Assumptions'!$C$50)</f>
        <v/>
      </c>
      <c r="C23" s="55">
        <f>MAX(0,C21+C22-'Assumptions'!$C$50)</f>
        <v/>
      </c>
      <c r="D23" s="55">
        <f>MAX(0,D21+D22-'Assumptions'!$C$50)</f>
        <v/>
      </c>
    </row>
    <row r="24">
      <c r="A24" s="15" t="inlineStr">
        <is>
          <t>As-converted (diluted × exit equity)</t>
        </is>
      </c>
      <c r="B24" s="46">
        <f>'Returns'!$B$8*B23</f>
        <v/>
      </c>
      <c r="C24" s="46">
        <f>'Returns'!$B$8*C23</f>
        <v/>
      </c>
      <c r="D24" s="46">
        <f>'Returns'!$B$8*D23</f>
        <v/>
      </c>
    </row>
    <row r="25">
      <c r="A25" s="15" t="inlineStr">
        <is>
          <t>Preference claim = MIN(liq×inv, exit eq)</t>
        </is>
      </c>
      <c r="B25" s="46">
        <f>MIN('Assumptions'!$C$17*'Assumptions'!$C$14,B23)</f>
        <v/>
      </c>
      <c r="C25" s="46">
        <f>MIN('Assumptions'!$C$17*'Assumptions'!$C$14,C23)</f>
        <v/>
      </c>
      <c r="D25" s="46">
        <f>MIN('Assumptions'!$C$17*'Assumptions'!$C$14,D23)</f>
        <v/>
      </c>
    </row>
    <row r="26">
      <c r="A26" s="3" t="inlineStr">
        <is>
          <t>Terminal proceeds = MAX(pref, as-converted)</t>
        </is>
      </c>
      <c r="B26" s="49">
        <f>MAX(B25,B24)</f>
        <v/>
      </c>
      <c r="C26" s="49">
        <f>MAX(C25,C24)</f>
        <v/>
      </c>
      <c r="D26" s="49">
        <f>MAX(D25,D24)</f>
        <v/>
      </c>
    </row>
    <row r="27">
      <c r="A27" s="15" t="inlineStr">
        <is>
          <t>Interim distributions (diluted×dist×realised)</t>
        </is>
      </c>
      <c r="B27" s="46">
        <f>'Returns'!$B$8*'Assumptions'!$C$49*MAX(0,B20)</f>
        <v/>
      </c>
      <c r="C27" s="46">
        <f>'Returns'!$B$8*'Assumptions'!$C$49*MAX(0,C20)</f>
        <v/>
      </c>
      <c r="D27" s="46">
        <f>'Returns'!$B$8*'Assumptions'!$C$49*MAX(0,D20)</f>
        <v/>
      </c>
    </row>
    <row r="28">
      <c r="A28" s="3" t="inlineStr">
        <is>
          <t>Our total proceeds = terminal + interim</t>
        </is>
      </c>
      <c r="B28" s="49">
        <f>B26+B27</f>
        <v/>
      </c>
      <c r="C28" s="49">
        <f>C26+C27</f>
        <v/>
      </c>
      <c r="D28" s="49">
        <f>D26+D27</f>
        <v/>
      </c>
    </row>
    <row r="29">
      <c r="A29" s="3" t="inlineStr">
        <is>
          <t>MOIC = our proceeds ÷ our investment</t>
        </is>
      </c>
      <c r="B29" s="56">
        <f>IFERROR(B28/'Assumptions'!$C$14,0)</f>
        <v/>
      </c>
      <c r="C29" s="56">
        <f>IFERROR(C28/'Assumptions'!$C$14,0)</f>
        <v/>
      </c>
      <c r="D29" s="56">
        <f>IFERROR(D28/'Assumptions'!$C$14,0)</f>
        <v/>
      </c>
    </row>
    <row r="30">
      <c r="A30" s="3" t="inlineStr">
        <is>
          <t>Equity IRR = MOIC^(1/exit yr) − 1</t>
        </is>
      </c>
      <c r="B30" s="18">
        <f>IFERROR(B29^(1/'Assumptions'!$C$18)-1,-1)</f>
        <v/>
      </c>
      <c r="C30" s="18">
        <f>IFERROR(C29^(1/'Assumptions'!$C$18)-1,-1)</f>
        <v/>
      </c>
      <c r="D30" s="18">
        <f>IFERROR(D29^(1/'Assumptions'!$C$18)-1,-1)</f>
        <v/>
      </c>
    </row>
    <row r="31"/>
    <row r="32">
      <c r="A32" s="6" t="inlineStr">
        <is>
          <t>First-Chicago probability-weighted expected return</t>
        </is>
      </c>
    </row>
    <row r="33">
      <c r="A33" s="8" t="inlineStr"/>
      <c r="B33" s="8" t="inlineStr">
        <is>
          <t>Conservative</t>
        </is>
      </c>
      <c r="C33" s="8" t="inlineStr">
        <is>
          <t>Base</t>
        </is>
      </c>
      <c r="D33" s="8" t="inlineStr">
        <is>
          <t>Ideal</t>
        </is>
      </c>
      <c r="E33" s="8" t="inlineStr">
        <is>
          <t>Expected</t>
        </is>
      </c>
    </row>
    <row r="34">
      <c r="A34" s="15" t="inlineStr">
        <is>
          <t>Weight</t>
        </is>
      </c>
      <c r="B34" s="33">
        <f>'Scenarios'!$B$13</f>
        <v/>
      </c>
      <c r="C34" s="33">
        <f>'Scenarios'!$C$13</f>
        <v/>
      </c>
      <c r="D34" s="33">
        <f>'Scenarios'!$D$13</f>
        <v/>
      </c>
    </row>
    <row r="35">
      <c r="A35" s="15" t="inlineStr">
        <is>
          <t>Our proceeds</t>
        </is>
      </c>
      <c r="B35" s="57">
        <f>'Returns'!$B$28</f>
        <v/>
      </c>
      <c r="C35" s="57">
        <f>'Returns'!$C$28</f>
        <v/>
      </c>
      <c r="D35" s="57">
        <f>'Returns'!$D$28</f>
        <v/>
      </c>
      <c r="E35" s="49">
        <f>SUMPRODUCT('Scenarios'!$B$13:$D$13,B35:D35)</f>
        <v/>
      </c>
    </row>
    <row r="36">
      <c r="A36" s="3" t="inlineStr">
        <is>
          <t>Expected MOIC = exp proceeds ÷ investment</t>
        </is>
      </c>
      <c r="E36" s="56">
        <f>IFERROR(E35/'Assumptions'!$C$14,0)</f>
        <v/>
      </c>
    </row>
    <row r="37">
      <c r="A37" s="3" t="inlineStr">
        <is>
          <t>Expected equity IRR = exp MOIC^(1/exit yr) − 1</t>
        </is>
      </c>
      <c r="E37" s="39">
        <f>IFERROR(E36^(1/'Assumptions'!$C$18)-1,-1)</f>
        <v/>
      </c>
    </row>
    <row r="38"/>
    <row r="39">
      <c r="A39" s="6" t="inlineStr">
        <is>
          <t>Valuation range (per-pipeline asset value — cross-check)</t>
        </is>
      </c>
      <c r="C39" s="10" t="inlineStr">
        <is>
          <t>Representative 6-project pipeline (asset-level), NOT the company's whole exit equity value.</t>
        </is>
      </c>
    </row>
    <row r="40">
      <c r="A40" s="15" t="inlineStr">
        <is>
          <t>rNPV pipeline (Base)</t>
        </is>
      </c>
      <c r="C40" s="57">
        <f>'Calc_Project_rNPV'!$M$10</f>
        <v/>
      </c>
    </row>
    <row r="41">
      <c r="A41" s="15" t="inlineStr">
        <is>
          <t>$/MW benchmark (dev value)</t>
        </is>
      </c>
      <c r="C41" s="57">
        <f>'Calc_CrossChecks'!$C$9</f>
        <v/>
      </c>
    </row>
    <row r="42">
      <c r="A42" s="15" t="inlineStr">
        <is>
          <t>VC method (today value)</t>
        </is>
      </c>
      <c r="C42" s="57">
        <f>'Calc_CrossChecks'!$C$18</f>
        <v/>
      </c>
    </row>
    <row r="43">
      <c r="A43" s="3" t="inlineStr">
        <is>
          <t>Low</t>
        </is>
      </c>
      <c r="C43" s="49">
        <f>MIN(C40:C42)</f>
        <v/>
      </c>
    </row>
    <row r="44">
      <c r="A44" s="3" t="inlineStr">
        <is>
          <t>Midpoint</t>
        </is>
      </c>
      <c r="C44" s="50">
        <f>AVERAGE(C40:C42)</f>
        <v/>
      </c>
    </row>
    <row r="45">
      <c r="A45" s="3" t="inlineStr">
        <is>
          <t>High</t>
        </is>
      </c>
      <c r="C45" s="49">
        <f>MAX(C40:C42)</f>
        <v/>
      </c>
    </row>
    <row r="46"/>
    <row r="47">
      <c r="A47" s="6" t="inlineStr">
        <is>
          <t>Full cap table — who owns what (mechanical; ties to 100%)</t>
        </is>
      </c>
    </row>
    <row r="48">
      <c r="A48" s="8" t="inlineStr">
        <is>
          <t>Holder</t>
        </is>
      </c>
      <c r="B48" s="8" t="inlineStr">
        <is>
          <t>At entry %</t>
        </is>
      </c>
      <c r="C48" s="8" t="inlineStr">
        <is>
          <t>At exit (diluted) %</t>
        </is>
      </c>
    </row>
    <row r="49">
      <c r="A49" s="15" t="inlineStr">
        <is>
          <t>Founders / existing holders</t>
        </is>
      </c>
      <c r="B49" s="38">
        <f>1-'Returns'!$B$7</f>
        <v/>
      </c>
      <c r="C49" s="38">
        <f>(1-'Returns'!$B$7)*(1-'Assumptions'!$C$15)*(1-'Assumptions'!$C$16)</f>
        <v/>
      </c>
    </row>
    <row r="50">
      <c r="A50" s="3" t="inlineStr">
        <is>
          <t>Us (new investor)</t>
        </is>
      </c>
      <c r="B50" s="37">
        <f>'Returns'!$B$7</f>
        <v/>
      </c>
      <c r="C50" s="58">
        <f>'Returns'!$B$8</f>
        <v/>
      </c>
    </row>
    <row r="51">
      <c r="A51" s="15" t="inlineStr">
        <is>
          <t>Option pool (staff)</t>
        </is>
      </c>
      <c r="B51" s="38" t="n">
        <v>0</v>
      </c>
      <c r="C51" s="38">
        <f>'Assumptions'!$C$15*(1-'Assumptions'!$C$16)</f>
        <v/>
      </c>
    </row>
    <row r="52">
      <c r="A52" s="15" t="inlineStr">
        <is>
          <t>Future-round investors</t>
        </is>
      </c>
      <c r="B52" s="38" t="n">
        <v>0</v>
      </c>
      <c r="C52" s="37">
        <f>'Assumptions'!$C$16</f>
        <v/>
      </c>
    </row>
    <row r="53">
      <c r="A53" s="3" t="inlineStr">
        <is>
          <t>Total (must = 100%)</t>
        </is>
      </c>
      <c r="B53" s="18">
        <f>SUM(B49:B52)</f>
        <v/>
      </c>
      <c r="C53" s="18">
        <f>SUM(C49:C52)</f>
        <v/>
      </c>
    </row>
    <row r="54"/>
    <row r="55">
      <c r="A55" s="6" t="inlineStr">
        <is>
          <t>Exit waterfall (Base) — full distribution of exit equity</t>
        </is>
      </c>
    </row>
    <row r="56">
      <c r="A56" s="15" t="inlineStr">
        <is>
          <t>Company exit equity (Base)</t>
        </is>
      </c>
      <c r="C56" s="57">
        <f>'Returns'!$C$23</f>
        <v/>
      </c>
    </row>
    <row r="57">
      <c r="A57" s="3" t="inlineStr">
        <is>
          <t>Our terminal proceeds (1x pref / as-converted)</t>
        </is>
      </c>
      <c r="C57" s="57">
        <f>'Returns'!$C$26</f>
        <v/>
      </c>
    </row>
    <row r="58">
      <c r="A58" s="15" t="inlineStr">
        <is>
          <t>Other holders' proceeds (residual)</t>
        </is>
      </c>
      <c r="C58" s="46">
        <f>C56-C57</f>
        <v/>
      </c>
    </row>
    <row r="59">
      <c r="A59" s="3" t="inlineStr">
        <is>
          <t>Distributed (ours + others = exit equity)</t>
        </is>
      </c>
      <c r="C59" s="49">
        <f>C57+C58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FFFFFF"/>
    <outlinePr summaryBelow="1" summaryRight="1"/>
    <pageSetUpPr/>
  </sheetPr>
  <dimension ref="A1:J2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CALC — CROSS-CHECKS: $/MW benchmark, VC method, RTB vs built</t>
        </is>
      </c>
      <c r="J1" s="2" t="inlineStr">
        <is>
          <t>↩ Contents</t>
        </is>
      </c>
    </row>
    <row r="2">
      <c r="A2" s="14" t="inlineStr">
        <is>
          <t>Asset-value cross-checks on the representative pipeline, Base scenario. All figures AUD $m unless stated.</t>
        </is>
      </c>
    </row>
    <row r="3">
      <c r="A3" s="6" t="inlineStr">
        <is>
          <t>$/MW benchmark (Base)</t>
        </is>
      </c>
    </row>
    <row r="4">
      <c r="A4" s="15" t="inlineStr">
        <is>
          <t>Total pipeline MW</t>
        </is>
      </c>
      <c r="C4" s="26">
        <f>SUM('Calc_Project_rNPV'!$C$4:$C$9)</f>
        <v/>
      </c>
    </row>
    <row r="5">
      <c r="A5" s="15" t="inlineStr">
        <is>
          <t>Gross RTB asset value $m</t>
        </is>
      </c>
      <c r="C5" s="52">
        <f>SUMPRODUCT('Calc_Project_rNPV'!$C$4:$C$9,'Calc_Project_rNPV'!$E$4:$E$9)*'Scenarios'!$C$6</f>
        <v/>
      </c>
    </row>
    <row r="6">
      <c r="A6" s="15" t="inlineStr">
        <is>
          <t>Total dev cost $m</t>
        </is>
      </c>
      <c r="C6" s="52">
        <f>'Assumptions'!$C$21*'Scenarios'!$C$7*COUNT('Calc_Project_rNPV'!$C$4:$C$9)</f>
        <v/>
      </c>
    </row>
    <row r="7">
      <c r="A7" s="15" t="inlineStr">
        <is>
          <t>Average years to sale</t>
        </is>
      </c>
      <c r="C7" s="51">
        <f>AVERAGE('Calc_Project_rNPV'!$D$4:$D$9)</f>
        <v/>
      </c>
    </row>
    <row r="8">
      <c r="A8" s="15" t="inlineStr">
        <is>
          <t>Flip success (Base, DA x conn x sale)</t>
        </is>
      </c>
      <c r="C8" s="38">
        <f>'Scenarios'!$C$5*'Assumptions'!$C$27*'Assumptions'!$C$28</f>
        <v/>
      </c>
    </row>
    <row r="9">
      <c r="A9" s="15" t="inlineStr">
        <is>
          <t>$/MW implied dev value $m</t>
        </is>
      </c>
      <c r="C9" s="49">
        <f>IFERROR((C5-C6)*C8/(1+'Assumptions'!$C$7)^C7,0)</f>
        <v/>
      </c>
    </row>
    <row r="10"/>
    <row r="11">
      <c r="A11" s="6" t="inlineStr">
        <is>
          <t>VC method (Base)</t>
        </is>
      </c>
    </row>
    <row r="12">
      <c r="A12" s="15" t="inlineStr">
        <is>
          <t>Total RTB sale value $m</t>
        </is>
      </c>
      <c r="C12" s="52">
        <f>SUMPRODUCT('Calc_Project_rNPV'!$C$4:$C$9,'Calc_Project_rNPV'!$E$4:$E$9)*'Scenarios'!$C$6</f>
        <v/>
      </c>
    </row>
    <row r="13">
      <c r="A13" s="15" t="inlineStr">
        <is>
          <t>Total dev cost $m</t>
        </is>
      </c>
      <c r="C13" s="52">
        <f>C6</f>
        <v/>
      </c>
    </row>
    <row r="14">
      <c r="A14" s="15" t="inlineStr">
        <is>
          <t>Flip success (Base)</t>
        </is>
      </c>
      <c r="C14" s="37">
        <f>C8</f>
        <v/>
      </c>
    </row>
    <row r="15">
      <c r="A15" s="15" t="inlineStr">
        <is>
          <t>Exit equity value (expected) $m</t>
        </is>
      </c>
      <c r="C15" s="46">
        <f>C14*(C12-C13)</f>
        <v/>
      </c>
    </row>
    <row r="16">
      <c r="A16" s="15" t="inlineStr">
        <is>
          <t>VC target return</t>
        </is>
      </c>
      <c r="C16" s="37">
        <f>'Assumptions'!$C$34</f>
        <v/>
      </c>
    </row>
    <row r="17">
      <c r="A17" s="15" t="inlineStr">
        <is>
          <t>Hold horizon (yrs)</t>
        </is>
      </c>
      <c r="C17" s="42">
        <f>'Assumptions'!$C$11</f>
        <v/>
      </c>
    </row>
    <row r="18">
      <c r="A18" s="15" t="inlineStr">
        <is>
          <t>VC today value $m</t>
        </is>
      </c>
      <c r="C18" s="49">
        <f>IFERROR(C15/(1+C16)^C17,0)</f>
        <v/>
      </c>
    </row>
    <row r="19"/>
    <row r="20">
      <c r="A20" s="6" t="inlineStr">
        <is>
          <t>RTB as % of built-asset value (sense-check)</t>
        </is>
      </c>
    </row>
    <row r="21">
      <c r="A21" s="8" t="inlineStr">
        <is>
          <t>State</t>
        </is>
      </c>
      <c r="B21" s="8" t="inlineStr">
        <is>
          <t>RTB $/MW</t>
        </is>
      </c>
      <c r="C21" s="8" t="inlineStr">
        <is>
          <t>Built $/MW</t>
        </is>
      </c>
      <c r="D21" s="8" t="inlineStr">
        <is>
          <t>RTB % of built</t>
        </is>
      </c>
    </row>
    <row r="22">
      <c r="A22" s="15" t="inlineStr">
        <is>
          <t>NSW</t>
        </is>
      </c>
      <c r="B22" s="59">
        <f>'Assumptions'!$C$30</f>
        <v/>
      </c>
      <c r="C22" s="59">
        <f>'Assumptions'!$C$24</f>
        <v/>
      </c>
      <c r="D22" s="38">
        <f>IFERROR(B22/C22,0)</f>
        <v/>
      </c>
    </row>
    <row r="23">
      <c r="A23" s="15" t="inlineStr">
        <is>
          <t>VIC</t>
        </is>
      </c>
      <c r="B23" s="59">
        <f>'Assumptions'!$C$31</f>
        <v/>
      </c>
      <c r="C23" s="59">
        <f>'Assumptions'!$C$24</f>
        <v/>
      </c>
      <c r="D23" s="38">
        <f>IFERROR(B23/C23,0)</f>
        <v/>
      </c>
    </row>
    <row r="24">
      <c r="A24" s="15" t="inlineStr">
        <is>
          <t>SA</t>
        </is>
      </c>
      <c r="B24" s="59">
        <f>'Assumptions'!$C$32</f>
        <v/>
      </c>
      <c r="C24" s="59">
        <f>'Assumptions'!$C$24</f>
        <v/>
      </c>
      <c r="D24" s="38">
        <f>IFERROR(B24/C24,0)</f>
        <v/>
      </c>
    </row>
    <row r="25">
      <c r="A25" s="14" t="inlineStr">
        <is>
          <t>Expect ~10–12% — confirms RTB is the early-stage development slice, not the built asset.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FFFF00"/>
    <outlinePr summaryBelow="1" summaryRight="1"/>
    <pageSetUpPr/>
  </sheetPr>
  <dimension ref="A1:V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3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</cols>
  <sheetData>
    <row r="1">
      <c r="A1" s="1" t="inlineStr">
        <is>
          <t>SENSITIVITY — OUR equity IRR: development approval × RTB price (forward-pipeline exit basis)</t>
        </is>
      </c>
      <c r="J1" s="2" t="inlineStr">
        <is>
          <t>↩ Contents</t>
        </is>
      </c>
    </row>
    <row r="2">
      <c r="A2" s="14" t="inlineStr">
        <is>
          <t>Return on OUR shares (equity IRR = MOIC^(1/exit year) − 1) vs DEVELOPMENT-APPROVAL rate (down) × RTB price multiplier (across); all else at Base. Exit equity now uses the PRIMARY forward-pipeline basis: forward rNPV (depth × per-project) + retained cash − debt; our proceeds = the GREATER of the 1× liquidation preference or our as-converted share. Helper columns H–J (per DA), the exit-equity grid L–P and the proceeds grid R–V keep every formula short. The exit assumption (pipeline depth × discount) is profiled separately in IC_MEMO Exhibit D. AUD $m / %.</t>
        </is>
      </c>
    </row>
    <row r="3"/>
    <row r="4">
      <c r="A4" s="15" t="inlineStr">
        <is>
          <t>Conn × sale (flip adj)</t>
        </is>
      </c>
      <c r="B4" s="38">
        <f>'Assumptions'!$C$27*'Assumptions'!$C$28</f>
        <v/>
      </c>
    </row>
    <row r="5">
      <c r="A5" s="15" t="inlineStr">
        <is>
          <t>Diluted ownership</t>
        </is>
      </c>
      <c r="B5" s="37">
        <f>'Returns'!$B$8</f>
        <v/>
      </c>
    </row>
    <row r="6">
      <c r="A6" s="15" t="inlineStr">
        <is>
          <t>Pipeline depth at exit</t>
        </is>
      </c>
      <c r="B6" s="42">
        <f>'Assumptions'!$C$48</f>
        <v/>
      </c>
    </row>
    <row r="7">
      <c r="A7" s="15" t="inlineStr">
        <is>
          <t>Preference cap (liq × investment) $m</t>
        </is>
      </c>
      <c r="B7" s="46">
        <f>'Assumptions'!$C$17*'Assumptions'!$C$14</f>
        <v/>
      </c>
    </row>
    <row r="8">
      <c r="A8" s="15" t="inlineStr">
        <is>
          <t>Our investment $m</t>
        </is>
      </c>
      <c r="B8" s="57">
        <f>'Assumptions'!$C$14</f>
        <v/>
      </c>
    </row>
    <row r="9">
      <c r="A9" s="15" t="inlineStr">
        <is>
          <t>Exit year</t>
        </is>
      </c>
      <c r="B9" s="42">
        <f>'Assumptions'!$C$18</f>
        <v/>
      </c>
    </row>
    <row r="10">
      <c r="A10" s="15" t="inlineStr">
        <is>
          <t>Base blended sale/project $m</t>
        </is>
      </c>
      <c r="B10" s="57">
        <f>'Calc_Project_rNPV'!$M$11</f>
        <v/>
      </c>
    </row>
    <row r="11">
      <c r="A11" s="15" t="inlineStr">
        <is>
          <t>Dev cost/project $m</t>
        </is>
      </c>
      <c r="B11" s="57">
        <f>'Assumptions'!$C$21</f>
        <v/>
      </c>
    </row>
    <row r="12">
      <c r="A12" s="15" t="inlineStr">
        <is>
          <t>Disc factor @ base over avg years</t>
        </is>
      </c>
      <c r="B12" s="60">
        <f>'Calc_Company'!$C$18</f>
        <v/>
      </c>
    </row>
    <row r="13">
      <c r="A13" s="15" t="inlineStr">
        <is>
          <t>Retain fraction (1 − dist)</t>
        </is>
      </c>
      <c r="B13" s="38">
        <f>1-'Assumptions'!$C$49</f>
        <v/>
      </c>
    </row>
    <row r="14">
      <c r="A14" s="15" t="inlineStr">
        <is>
          <t>Debt at exit $m</t>
        </is>
      </c>
      <c r="B14" s="57">
        <f>'Assumptions'!$C$50</f>
        <v/>
      </c>
    </row>
    <row r="15"/>
    <row r="16"/>
    <row r="17">
      <c r="B17" s="61" t="inlineStr">
        <is>
          <t>Price mult →</t>
        </is>
      </c>
      <c r="C17" s="28" t="n">
        <v>0.7</v>
      </c>
      <c r="D17" s="28" t="n">
        <v>0.85</v>
      </c>
      <c r="E17" s="28" t="n">
        <v>1</v>
      </c>
      <c r="F17" s="28" t="n">
        <v>1.15</v>
      </c>
      <c r="G17" s="28" t="n">
        <v>1.3</v>
      </c>
    </row>
    <row r="18">
      <c r="B18" s="61" t="inlineStr">
        <is>
          <t>Gross $m →</t>
        </is>
      </c>
      <c r="C18" s="62">
        <f>'Assumptions'!$C$10*'Calc_Project_rNPV'!$M$11*C17</f>
        <v/>
      </c>
      <c r="D18" s="62">
        <f>'Assumptions'!$C$10*'Calc_Project_rNPV'!$M$11*D17</f>
        <v/>
      </c>
      <c r="E18" s="62">
        <f>'Assumptions'!$C$10*'Calc_Project_rNPV'!$M$11*E17</f>
        <v/>
      </c>
      <c r="F18" s="62">
        <f>'Assumptions'!$C$10*'Calc_Project_rNPV'!$M$11*F17</f>
        <v/>
      </c>
      <c r="G18" s="62">
        <f>'Assumptions'!$C$10*'Calc_Project_rNPV'!$M$11*G17</f>
        <v/>
      </c>
    </row>
    <row r="19">
      <c r="B19" s="63" t="inlineStr">
        <is>
          <t>DA gate ↓</t>
        </is>
      </c>
      <c r="C19" s="63" t="inlineStr">
        <is>
          <t>IRR</t>
        </is>
      </c>
      <c r="D19" s="63" t="inlineStr">
        <is>
          <t>IRR</t>
        </is>
      </c>
      <c r="E19" s="63" t="inlineStr">
        <is>
          <t>IRR</t>
        </is>
      </c>
      <c r="F19" s="63" t="inlineStr">
        <is>
          <t>IRR</t>
        </is>
      </c>
      <c r="G19" s="63" t="inlineStr">
        <is>
          <t>IRR</t>
        </is>
      </c>
      <c r="H19" s="8" t="inlineStr">
        <is>
          <t>Flip succ</t>
        </is>
      </c>
      <c r="I19" s="8" t="inlineStr">
        <is>
          <t>Started</t>
        </is>
      </c>
      <c r="J19" s="8" t="inlineStr">
        <is>
          <t>Total dev</t>
        </is>
      </c>
      <c r="L19" s="8" t="inlineStr">
        <is>
          <t>Exit eq</t>
        </is>
      </c>
      <c r="M19" s="8" t="inlineStr">
        <is>
          <t>Exit eq</t>
        </is>
      </c>
      <c r="N19" s="8" t="inlineStr">
        <is>
          <t>Exit eq</t>
        </is>
      </c>
      <c r="O19" s="8" t="inlineStr">
        <is>
          <t>Exit eq</t>
        </is>
      </c>
      <c r="P19" s="8" t="inlineStr">
        <is>
          <t>Exit eq</t>
        </is>
      </c>
      <c r="R19" s="8" t="inlineStr">
        <is>
          <t>Proceeds</t>
        </is>
      </c>
      <c r="S19" s="8" t="inlineStr">
        <is>
          <t>Proceeds</t>
        </is>
      </c>
      <c r="T19" s="8" t="inlineStr">
        <is>
          <t>Proceeds</t>
        </is>
      </c>
      <c r="U19" s="8" t="inlineStr">
        <is>
          <t>Proceeds</t>
        </is>
      </c>
      <c r="V19" s="8" t="inlineStr">
        <is>
          <t>Proceeds</t>
        </is>
      </c>
    </row>
    <row r="20">
      <c r="B20" s="25" t="n">
        <v>0.4</v>
      </c>
      <c r="C20" s="38">
        <f>IFERROR((R20/$B$8)^(1/$B$9)-1,-1)</f>
        <v/>
      </c>
      <c r="D20" s="38">
        <f>IFERROR((S20/$B$8)^(1/$B$9)-1,-1)</f>
        <v/>
      </c>
      <c r="E20" s="38">
        <f>IFERROR((T20/$B$8)^(1/$B$9)-1,-1)</f>
        <v/>
      </c>
      <c r="F20" s="38">
        <f>IFERROR((U20/$B$8)^(1/$B$9)-1,-1)</f>
        <v/>
      </c>
      <c r="G20" s="38">
        <f>IFERROR((V20/$B$8)^(1/$B$9)-1,-1)</f>
        <v/>
      </c>
      <c r="H20" s="38">
        <f>$B20*$B$4</f>
        <v/>
      </c>
      <c r="I20" s="51">
        <f>IFERROR('Assumptions'!$C$10/H20,0)</f>
        <v/>
      </c>
      <c r="J20" s="52">
        <f>'Assumptions'!$C$21*('Assumptions'!$C$10+(I20-'Assumptions'!$C$10)*'Assumptions'!$C$22)</f>
        <v/>
      </c>
      <c r="L20" s="46">
        <f>MAX(0,$B$6*($B$10*C$17-$B$11)*$H20*$B$12+MAX(0,C$18-$J20)*$B$13-$B$14)</f>
        <v/>
      </c>
      <c r="M20" s="46">
        <f>MAX(0,$B$6*($B$10*D$17-$B$11)*$H20*$B$12+MAX(0,D$18-$J20)*$B$13-$B$14)</f>
        <v/>
      </c>
      <c r="N20" s="46">
        <f>MAX(0,$B$6*($B$10*E$17-$B$11)*$H20*$B$12+MAX(0,E$18-$J20)*$B$13-$B$14)</f>
        <v/>
      </c>
      <c r="O20" s="46">
        <f>MAX(0,$B$6*($B$10*F$17-$B$11)*$H20*$B$12+MAX(0,F$18-$J20)*$B$13-$B$14)</f>
        <v/>
      </c>
      <c r="P20" s="46">
        <f>MAX(0,$B$6*($B$10*G$17-$B$11)*$H20*$B$12+MAX(0,G$18-$J20)*$B$13-$B$14)</f>
        <v/>
      </c>
      <c r="R20" s="46">
        <f>MAX(MIN($B$7,L20),$B$5*L20)</f>
        <v/>
      </c>
      <c r="S20" s="46">
        <f>MAX(MIN($B$7,M20),$B$5*M20)</f>
        <v/>
      </c>
      <c r="T20" s="46">
        <f>MAX(MIN($B$7,N20),$B$5*N20)</f>
        <v/>
      </c>
      <c r="U20" s="46">
        <f>MAX(MIN($B$7,O20),$B$5*O20)</f>
        <v/>
      </c>
      <c r="V20" s="46">
        <f>MAX(MIN($B$7,P20),$B$5*P20)</f>
        <v/>
      </c>
    </row>
    <row r="21">
      <c r="B21" s="25" t="n">
        <v>0.55</v>
      </c>
      <c r="C21" s="38">
        <f>IFERROR((R21/$B$8)^(1/$B$9)-1,-1)</f>
        <v/>
      </c>
      <c r="D21" s="38">
        <f>IFERROR((S21/$B$8)^(1/$B$9)-1,-1)</f>
        <v/>
      </c>
      <c r="E21" s="38">
        <f>IFERROR((T21/$B$8)^(1/$B$9)-1,-1)</f>
        <v/>
      </c>
      <c r="F21" s="38">
        <f>IFERROR((U21/$B$8)^(1/$B$9)-1,-1)</f>
        <v/>
      </c>
      <c r="G21" s="38">
        <f>IFERROR((V21/$B$8)^(1/$B$9)-1,-1)</f>
        <v/>
      </c>
      <c r="H21" s="38">
        <f>$B21*$B$4</f>
        <v/>
      </c>
      <c r="I21" s="51">
        <f>IFERROR('Assumptions'!$C$10/H21,0)</f>
        <v/>
      </c>
      <c r="J21" s="52">
        <f>'Assumptions'!$C$21*('Assumptions'!$C$10+(I21-'Assumptions'!$C$10)*'Assumptions'!$C$22)</f>
        <v/>
      </c>
      <c r="L21" s="46">
        <f>MAX(0,$B$6*($B$10*C$17-$B$11)*$H21*$B$12+MAX(0,C$18-$J21)*$B$13-$B$14)</f>
        <v/>
      </c>
      <c r="M21" s="46">
        <f>MAX(0,$B$6*($B$10*D$17-$B$11)*$H21*$B$12+MAX(0,D$18-$J21)*$B$13-$B$14)</f>
        <v/>
      </c>
      <c r="N21" s="46">
        <f>MAX(0,$B$6*($B$10*E$17-$B$11)*$H21*$B$12+MAX(0,E$18-$J21)*$B$13-$B$14)</f>
        <v/>
      </c>
      <c r="O21" s="46">
        <f>MAX(0,$B$6*($B$10*F$17-$B$11)*$H21*$B$12+MAX(0,F$18-$J21)*$B$13-$B$14)</f>
        <v/>
      </c>
      <c r="P21" s="46">
        <f>MAX(0,$B$6*($B$10*G$17-$B$11)*$H21*$B$12+MAX(0,G$18-$J21)*$B$13-$B$14)</f>
        <v/>
      </c>
      <c r="R21" s="46">
        <f>MAX(MIN($B$7,L21),$B$5*L21)</f>
        <v/>
      </c>
      <c r="S21" s="46">
        <f>MAX(MIN($B$7,M21),$B$5*M21)</f>
        <v/>
      </c>
      <c r="T21" s="46">
        <f>MAX(MIN($B$7,N21),$B$5*N21)</f>
        <v/>
      </c>
      <c r="U21" s="46">
        <f>MAX(MIN($B$7,O21),$B$5*O21)</f>
        <v/>
      </c>
      <c r="V21" s="46">
        <f>MAX(MIN($B$7,P21),$B$5*P21)</f>
        <v/>
      </c>
    </row>
    <row r="22">
      <c r="B22" s="25" t="n">
        <v>0.65</v>
      </c>
      <c r="C22" s="38">
        <f>IFERROR((R22/$B$8)^(1/$B$9)-1,-1)</f>
        <v/>
      </c>
      <c r="D22" s="38">
        <f>IFERROR((S22/$B$8)^(1/$B$9)-1,-1)</f>
        <v/>
      </c>
      <c r="E22" s="38">
        <f>IFERROR((T22/$B$8)^(1/$B$9)-1,-1)</f>
        <v/>
      </c>
      <c r="F22" s="38">
        <f>IFERROR((U22/$B$8)^(1/$B$9)-1,-1)</f>
        <v/>
      </c>
      <c r="G22" s="38">
        <f>IFERROR((V22/$B$8)^(1/$B$9)-1,-1)</f>
        <v/>
      </c>
      <c r="H22" s="38">
        <f>$B22*$B$4</f>
        <v/>
      </c>
      <c r="I22" s="51">
        <f>IFERROR('Assumptions'!$C$10/H22,0)</f>
        <v/>
      </c>
      <c r="J22" s="52">
        <f>'Assumptions'!$C$21*('Assumptions'!$C$10+(I22-'Assumptions'!$C$10)*'Assumptions'!$C$22)</f>
        <v/>
      </c>
      <c r="L22" s="46">
        <f>MAX(0,$B$6*($B$10*C$17-$B$11)*$H22*$B$12+MAX(0,C$18-$J22)*$B$13-$B$14)</f>
        <v/>
      </c>
      <c r="M22" s="46">
        <f>MAX(0,$B$6*($B$10*D$17-$B$11)*$H22*$B$12+MAX(0,D$18-$J22)*$B$13-$B$14)</f>
        <v/>
      </c>
      <c r="N22" s="46">
        <f>MAX(0,$B$6*($B$10*E$17-$B$11)*$H22*$B$12+MAX(0,E$18-$J22)*$B$13-$B$14)</f>
        <v/>
      </c>
      <c r="O22" s="46">
        <f>MAX(0,$B$6*($B$10*F$17-$B$11)*$H22*$B$12+MAX(0,F$18-$J22)*$B$13-$B$14)</f>
        <v/>
      </c>
      <c r="P22" s="46">
        <f>MAX(0,$B$6*($B$10*G$17-$B$11)*$H22*$B$12+MAX(0,G$18-$J22)*$B$13-$B$14)</f>
        <v/>
      </c>
      <c r="R22" s="46">
        <f>MAX(MIN($B$7,L22),$B$5*L22)</f>
        <v/>
      </c>
      <c r="S22" s="46">
        <f>MAX(MIN($B$7,M22),$B$5*M22)</f>
        <v/>
      </c>
      <c r="T22" s="46">
        <f>MAX(MIN($B$7,N22),$B$5*N22)</f>
        <v/>
      </c>
      <c r="U22" s="46">
        <f>MAX(MIN($B$7,O22),$B$5*O22)</f>
        <v/>
      </c>
      <c r="V22" s="46">
        <f>MAX(MIN($B$7,P22),$B$5*P22)</f>
        <v/>
      </c>
    </row>
    <row r="23">
      <c r="B23" s="25" t="n">
        <v>0.8</v>
      </c>
      <c r="C23" s="38">
        <f>IFERROR((R23/$B$8)^(1/$B$9)-1,-1)</f>
        <v/>
      </c>
      <c r="D23" s="38">
        <f>IFERROR((S23/$B$8)^(1/$B$9)-1,-1)</f>
        <v/>
      </c>
      <c r="E23" s="38">
        <f>IFERROR((T23/$B$8)^(1/$B$9)-1,-1)</f>
        <v/>
      </c>
      <c r="F23" s="38">
        <f>IFERROR((U23/$B$8)^(1/$B$9)-1,-1)</f>
        <v/>
      </c>
      <c r="G23" s="38">
        <f>IFERROR((V23/$B$8)^(1/$B$9)-1,-1)</f>
        <v/>
      </c>
      <c r="H23" s="38">
        <f>$B23*$B$4</f>
        <v/>
      </c>
      <c r="I23" s="51">
        <f>IFERROR('Assumptions'!$C$10/H23,0)</f>
        <v/>
      </c>
      <c r="J23" s="52">
        <f>'Assumptions'!$C$21*('Assumptions'!$C$10+(I23-'Assumptions'!$C$10)*'Assumptions'!$C$22)</f>
        <v/>
      </c>
      <c r="L23" s="46">
        <f>MAX(0,$B$6*($B$10*C$17-$B$11)*$H23*$B$12+MAX(0,C$18-$J23)*$B$13-$B$14)</f>
        <v/>
      </c>
      <c r="M23" s="46">
        <f>MAX(0,$B$6*($B$10*D$17-$B$11)*$H23*$B$12+MAX(0,D$18-$J23)*$B$13-$B$14)</f>
        <v/>
      </c>
      <c r="N23" s="46">
        <f>MAX(0,$B$6*($B$10*E$17-$B$11)*$H23*$B$12+MAX(0,E$18-$J23)*$B$13-$B$14)</f>
        <v/>
      </c>
      <c r="O23" s="46">
        <f>MAX(0,$B$6*($B$10*F$17-$B$11)*$H23*$B$12+MAX(0,F$18-$J23)*$B$13-$B$14)</f>
        <v/>
      </c>
      <c r="P23" s="46">
        <f>MAX(0,$B$6*($B$10*G$17-$B$11)*$H23*$B$12+MAX(0,G$18-$J23)*$B$13-$B$14)</f>
        <v/>
      </c>
      <c r="R23" s="46">
        <f>MAX(MIN($B$7,L23),$B$5*L23)</f>
        <v/>
      </c>
      <c r="S23" s="46">
        <f>MAX(MIN($B$7,M23),$B$5*M23)</f>
        <v/>
      </c>
      <c r="T23" s="46">
        <f>MAX(MIN($B$7,N23),$B$5*N23)</f>
        <v/>
      </c>
      <c r="U23" s="46">
        <f>MAX(MIN($B$7,O23),$B$5*O23)</f>
        <v/>
      </c>
      <c r="V23" s="46">
        <f>MAX(MIN($B$7,P23),$B$5*P23)</f>
        <v/>
      </c>
    </row>
    <row r="24">
      <c r="B24" s="25" t="n">
        <v>0.95</v>
      </c>
      <c r="C24" s="38">
        <f>IFERROR((R24/$B$8)^(1/$B$9)-1,-1)</f>
        <v/>
      </c>
      <c r="D24" s="38">
        <f>IFERROR((S24/$B$8)^(1/$B$9)-1,-1)</f>
        <v/>
      </c>
      <c r="E24" s="38">
        <f>IFERROR((T24/$B$8)^(1/$B$9)-1,-1)</f>
        <v/>
      </c>
      <c r="F24" s="38">
        <f>IFERROR((U24/$B$8)^(1/$B$9)-1,-1)</f>
        <v/>
      </c>
      <c r="G24" s="38">
        <f>IFERROR((V24/$B$8)^(1/$B$9)-1,-1)</f>
        <v/>
      </c>
      <c r="H24" s="38">
        <f>$B24*$B$4</f>
        <v/>
      </c>
      <c r="I24" s="51">
        <f>IFERROR('Assumptions'!$C$10/H24,0)</f>
        <v/>
      </c>
      <c r="J24" s="52">
        <f>'Assumptions'!$C$21*('Assumptions'!$C$10+(I24-'Assumptions'!$C$10)*'Assumptions'!$C$22)</f>
        <v/>
      </c>
      <c r="L24" s="46">
        <f>MAX(0,$B$6*($B$10*C$17-$B$11)*$H24*$B$12+MAX(0,C$18-$J24)*$B$13-$B$14)</f>
        <v/>
      </c>
      <c r="M24" s="46">
        <f>MAX(0,$B$6*($B$10*D$17-$B$11)*$H24*$B$12+MAX(0,D$18-$J24)*$B$13-$B$14)</f>
        <v/>
      </c>
      <c r="N24" s="46">
        <f>MAX(0,$B$6*($B$10*E$17-$B$11)*$H24*$B$12+MAX(0,E$18-$J24)*$B$13-$B$14)</f>
        <v/>
      </c>
      <c r="O24" s="46">
        <f>MAX(0,$B$6*($B$10*F$17-$B$11)*$H24*$B$12+MAX(0,F$18-$J24)*$B$13-$B$14)</f>
        <v/>
      </c>
      <c r="P24" s="46">
        <f>MAX(0,$B$6*($B$10*G$17-$B$11)*$H24*$B$12+MAX(0,G$18-$J24)*$B$13-$B$14)</f>
        <v/>
      </c>
      <c r="R24" s="46">
        <f>MAX(MIN($B$7,L24),$B$5*L24)</f>
        <v/>
      </c>
      <c r="S24" s="46">
        <f>MAX(MIN($B$7,M24),$B$5*M24)</f>
        <v/>
      </c>
      <c r="T24" s="46">
        <f>MAX(MIN($B$7,N24),$B$5*N24)</f>
        <v/>
      </c>
      <c r="U24" s="46">
        <f>MAX(MIN($B$7,O24),$B$5*O24)</f>
        <v/>
      </c>
      <c r="V24" s="46">
        <f>MAX(MIN($B$7,P24),$B$5*P24)</f>
        <v/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0000"/>
    <outlinePr summaryBelow="1" summaryRight="1"/>
    <pageSetUpPr/>
  </sheetPr>
  <dimension ref="A1:J2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4" customWidth="1" min="1" max="1"/>
    <col width="12" customWidth="1" min="2" max="2"/>
    <col width="38" customWidth="1" min="3" max="3"/>
    <col width="4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CHECKS — integrity framework (master check feeds the Cover)</t>
        </is>
      </c>
      <c r="J1" s="2" t="inlineStr">
        <is>
          <t>↩ Contents</t>
        </is>
      </c>
    </row>
    <row r="2"/>
    <row r="3">
      <c r="A3" s="8" t="inlineStr">
        <is>
          <t>Check</t>
        </is>
      </c>
      <c r="B3" s="8" t="inlineStr">
        <is>
          <t>Result</t>
        </is>
      </c>
      <c r="C3" s="8" t="inlineStr">
        <is>
          <t>Note</t>
        </is>
      </c>
    </row>
    <row r="4">
      <c r="A4" s="15" t="inlineStr">
        <is>
          <t>Every gate probability ∈ [0,1]</t>
        </is>
      </c>
      <c r="B4" s="40">
        <f>IF(AND(MIN('Assumptions'!$C$26:$C$28)&gt;=0,MAX('Assumptions'!$C$26:$C$28)&lt;=1),"OK","ERROR")</f>
        <v/>
      </c>
      <c r="C4" s="10" t="inlineStr">
        <is>
          <t>Gate probs bounded</t>
        </is>
      </c>
    </row>
    <row r="5">
      <c r="A5" s="15" t="inlineStr">
        <is>
          <t>Flip success ≤ each gate</t>
        </is>
      </c>
      <c r="B5" s="40">
        <f>IF('Calc_Survival'!$C$7&lt;=MIN('Calc_Survival'!$B$4:$B$6)+0.000001,"OK","ERROR")</f>
        <v/>
      </c>
      <c r="C5" s="10" t="inlineStr">
        <is>
          <t>Survival monotonic</t>
        </is>
      </c>
    </row>
    <row r="6">
      <c r="A6" s="15" t="inlineStr">
        <is>
          <t>All MW positive</t>
        </is>
      </c>
      <c r="B6" s="40">
        <f>IF(MIN('Assumptions'!$D$40:$D$45)&gt;0,"OK","ERROR")</f>
        <v/>
      </c>
      <c r="C6" s="10" t="inlineStr">
        <is>
          <t>Sign check</t>
        </is>
      </c>
    </row>
    <row r="7">
      <c r="A7" s="15" t="inlineStr">
        <is>
          <t>All RTB sale values positive</t>
        </is>
      </c>
      <c r="B7" s="40">
        <f>IF(MIN('Calc_Project_rNPV'!$G$4:$G$9)&gt;0,"OK","ERROR")</f>
        <v/>
      </c>
      <c r="C7" s="10" t="inlineStr">
        <is>
          <t>Sign check</t>
        </is>
      </c>
    </row>
    <row r="8">
      <c r="A8" s="15" t="inlineStr">
        <is>
          <t>Dev cost positive</t>
        </is>
      </c>
      <c r="B8" s="40">
        <f>IF('Assumptions'!$C$21&gt;0,"OK","ERROR")</f>
        <v/>
      </c>
      <c r="C8" s="10" t="inlineStr">
        <is>
          <t>Sign check</t>
        </is>
      </c>
    </row>
    <row r="9">
      <c r="A9" s="15" t="inlineStr">
        <is>
          <t>Scenario switch ∈ {1,2,3}</t>
        </is>
      </c>
      <c r="B9" s="40">
        <f>IF(AND('Scenarios'!$B$2&gt;=1,'Scenarios'!$B$2&lt;=3),"OK","ERROR")</f>
        <v/>
      </c>
      <c r="C9" s="10" t="inlineStr">
        <is>
          <t>Switch valid</t>
        </is>
      </c>
    </row>
    <row r="10">
      <c r="A10" s="15" t="inlineStr">
        <is>
          <t>Scenario DA-gate monotonic</t>
        </is>
      </c>
      <c r="B10" s="40">
        <f>IF(AND('Scenarios'!$B$5&lt;='Scenarios'!$C$5,'Scenarios'!$C$5&lt;='Scenarios'!$D$5),"OK","ERROR")</f>
        <v/>
      </c>
      <c r="C10" s="10" t="inlineStr">
        <is>
          <t>Cons ≤ Base ≤ Ideal</t>
        </is>
      </c>
    </row>
    <row r="11">
      <c r="A11" s="15" t="inlineStr">
        <is>
          <t>Post-money = pre-money + investment</t>
        </is>
      </c>
      <c r="B11" s="40">
        <f>IF(ABS('Returns'!$B$6-('Assumptions'!$C$13+'Assumptions'!$C$14))&lt;0.0001,"OK","ERROR")</f>
        <v/>
      </c>
      <c r="C11" s="10" t="inlineStr">
        <is>
          <t>Cap-table identity</t>
        </is>
      </c>
    </row>
    <row r="12">
      <c r="A12" s="15" t="inlineStr">
        <is>
          <t>Ownership = investment ÷ post-money</t>
        </is>
      </c>
      <c r="B12" s="40">
        <f>IF(ABS('Returns'!$B$7-'Assumptions'!$C$14/'Returns'!$B$6)&lt;0.0001,"OK","ERROR")</f>
        <v/>
      </c>
      <c r="C12" s="10" t="inlineStr">
        <is>
          <t>Cap-table identity</t>
        </is>
      </c>
    </row>
    <row r="13">
      <c r="A13" s="15" t="inlineStr">
        <is>
          <t>Diluted ownership ≤ entry ownership</t>
        </is>
      </c>
      <c r="B13" s="40">
        <f>IF('Returns'!$B$8&lt;='Returns'!$B$7+0.0001,"OK","ERROR")</f>
        <v/>
      </c>
      <c r="C13" s="10" t="inlineStr">
        <is>
          <t>Dilution sign</t>
        </is>
      </c>
    </row>
    <row r="14">
      <c r="A14" s="15" t="inlineStr">
        <is>
          <t>Investor MOIC monotonic</t>
        </is>
      </c>
      <c r="B14" s="40">
        <f>IF(AND('Returns'!$B$29&lt;='Returns'!$C$29,'Returns'!$C$29&lt;='Returns'!$D$29),"OK","ERROR")</f>
        <v/>
      </c>
      <c r="C14" s="10" t="inlineStr">
        <is>
          <t>Cons ≤ Base ≤ Ideal</t>
        </is>
      </c>
    </row>
    <row r="15">
      <c r="A15" s="15" t="inlineStr">
        <is>
          <t>Scenario weights sum to 100%</t>
        </is>
      </c>
      <c r="B15" s="40">
        <f>IF(ABS('Scenarios'!$E$13-1)&lt;0.001,"OK","ERROR")</f>
        <v/>
      </c>
      <c r="C15" s="10" t="inlineStr">
        <is>
          <t>First-Chicago weights</t>
        </is>
      </c>
    </row>
    <row r="16">
      <c r="A16" s="15" t="inlineStr">
        <is>
          <t>First-Chicago IRR within scenario range</t>
        </is>
      </c>
      <c r="B16" s="40">
        <f>IF(AND(G16&gt;=E16-0.0001,G16&lt;=F16+0.0001),"OK","ERROR")</f>
        <v/>
      </c>
      <c r="C16" s="10" t="inlineStr">
        <is>
          <t>Weighting sanity (helpers E:G)</t>
        </is>
      </c>
      <c r="E16" s="64">
        <f>MIN('Returns'!$B$30:$D$30)</f>
        <v/>
      </c>
      <c r="F16" s="64">
        <f>MAX('Returns'!$B$30:$D$30)</f>
        <v/>
      </c>
      <c r="G16" s="33">
        <f>'Returns'!$E$37</f>
        <v/>
      </c>
    </row>
    <row r="17">
      <c r="A17" s="15" t="inlineStr">
        <is>
          <t>Our proceeds non-negative (all scenarios)</t>
        </is>
      </c>
      <c r="B17" s="40">
        <f>IF(MIN('Returns'!$B$28:$D$28)&gt;=0,"OK","ERROR")</f>
        <v/>
      </c>
      <c r="C17" s="10" t="inlineStr">
        <is>
          <t>Sign check</t>
        </is>
      </c>
    </row>
    <row r="18">
      <c r="A18" s="15" t="inlineStr">
        <is>
          <t>No error cells in key outputs</t>
        </is>
      </c>
      <c r="B18" s="40">
        <f>IF(SUM(E18:G18)=0,"OK","ERROR")</f>
        <v/>
      </c>
      <c r="C18" s="10" t="inlineStr">
        <is>
          <t>#REF!/#DIV0! scan</t>
        </is>
      </c>
      <c r="E18" s="40">
        <f>SUMPRODUCT(--ISERROR('Calc_Project_rNPV'!$M$4:$M$10))</f>
        <v/>
      </c>
      <c r="F18" s="40">
        <f>SUMPRODUCT(--ISERROR('Returns'!$B$30:$D$30))</f>
        <v/>
      </c>
      <c r="G18" s="40">
        <f>SUMPRODUCT(--ISERROR('Sensitivity'!$C$20:$G$24))</f>
        <v/>
      </c>
    </row>
    <row r="19">
      <c r="A19" s="15" t="inlineStr">
        <is>
          <t>Cap table ties (ownership sums to 100%)</t>
        </is>
      </c>
      <c r="B19" s="40">
        <f>IF(AND(ABS('Returns'!$B$53-1)&lt;0.001,ABS('Returns'!$C$53-1)&lt;0.001),"OK","ERROR")</f>
        <v/>
      </c>
      <c r="C19" s="10" t="inlineStr">
        <is>
          <t>VC cap-table integrity</t>
        </is>
      </c>
    </row>
    <row r="20">
      <c r="A20" s="15" t="inlineStr">
        <is>
          <t>Exit equity fully distributed (ours + others)</t>
        </is>
      </c>
      <c r="B20" s="40">
        <f>IF(ABS('Returns'!$C$59-'Returns'!$C$56)&lt;0.001,"OK","ERROR")</f>
        <v/>
      </c>
      <c r="C20" s="10" t="inlineStr">
        <is>
          <t>VC waterfall integrity</t>
        </is>
      </c>
    </row>
    <row r="21">
      <c r="A21" s="15" t="inlineStr">
        <is>
          <t>No double-count (exit value ≤ realised + forward pipeline)</t>
        </is>
      </c>
      <c r="B21" s="40">
        <f>IF('Returns'!$C$23&lt;='Returns'!$C$21+'Returns'!$C$22+0.000001,"OK","ERROR")</f>
        <v/>
      </c>
      <c r="C21" s="10" t="inlineStr">
        <is>
          <t>Retained-cash-only guard</t>
        </is>
      </c>
    </row>
    <row r="22">
      <c r="A22" s="15" t="inlineStr">
        <is>
          <t>Provenance: unverified inputs flagged, not silently independent</t>
        </is>
      </c>
      <c r="B22" s="40">
        <f>IF(OR(AND('Assumptions'!$C$57=1,'Assumptions'!$C$58=1),'Assumptions'!$C$59=1),"OK","ERROR")</f>
        <v/>
      </c>
      <c r="C22" s="10" t="inlineStr">
        <is>
          <t>Contamination guard (see advisory below)</t>
        </is>
      </c>
    </row>
    <row r="23"/>
    <row r="24">
      <c r="A24" s="3" t="inlineStr">
        <is>
          <t>MASTER CHECK</t>
        </is>
      </c>
      <c r="B24" s="65">
        <f>IF(COUNTIF(B4:B22,"ERROR")=0,"OK","ERROR")</f>
        <v/>
      </c>
    </row>
    <row r="25"/>
    <row r="26">
      <c r="A26" s="66" t="inlineStr">
        <is>
          <t>PROVENANCE STATUS (advisory — not in master)</t>
        </is>
      </c>
      <c r="B26" s="67">
        <f>IF(AND('Assumptions'!$C$57=1,'Assumptions'!$C$58=1),"Verified","UNVERIFIED — verify inputs")</f>
        <v/>
      </c>
    </row>
    <row r="27">
      <c r="A27" s="14" t="inlineStr">
        <is>
          <t>The independent pipeline rNPV currently consumes the manager's UNVERIFIED RTB $/MW and dev-cost claims (tagged Proposed). The value is illustrative until each is verified against a primary source and re-tagged Independent (verified). Verifying them is more likely to LOWER the value than raise it — widening, not closing, the entry-price gap. Master check is unaffected (this is a disclosure).</t>
        </is>
      </c>
    </row>
  </sheetData>
  <mergeCells count="1">
    <mergeCell ref="A27:G27"/>
  </mergeCells>
  <conditionalFormatting sqref="B4:B24">
    <cfRule type="cellIs" priority="1" operator="equal" dxfId="0">
      <formula>"OK"</formula>
    </cfRule>
    <cfRule type="cellIs" priority="2" operator="equal" dxfId="1">
      <formula>"ERROR"</formula>
    </cfRule>
  </conditionalFormatting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0B050"/>
    <outlinePr summaryBelow="1" summaryRight="1"/>
    <pageSetUpPr/>
  </sheetPr>
  <dimension ref="A1:J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6" customWidth="1" min="3" max="3"/>
    <col width="34" customWidth="1" min="4" max="4"/>
    <col width="16" customWidth="1" min="5" max="5"/>
  </cols>
  <sheetData>
    <row r="1">
      <c r="A1" s="1" t="inlineStr">
        <is>
          <t>ILLUSTRATIVE BATTERY-DEVELOPER STARTUP — DIRECT-EQUITY DASHBOARD</t>
        </is>
      </c>
      <c r="J1" s="2" t="inlineStr">
        <is>
          <t>↩ Contents</t>
        </is>
      </c>
    </row>
    <row r="2">
      <c r="A2" s="7" t="inlineStr">
        <is>
          <t>We buy SHARES directly in an illustrative ~5 MW distribution-BESS develop-and-flip startup (NSW/VIC/SA). ILLUSTRATIVE — founder/manager figures are claims and the equity-deal terms are placeholders to confirm. Not investment advice.</t>
        </is>
      </c>
    </row>
    <row r="4">
      <c r="A4" s="3" t="inlineStr">
        <is>
          <t>Active scenario</t>
        </is>
      </c>
      <c r="B4" s="5">
        <f>'Scenarios'!$B$3</f>
        <v/>
      </c>
      <c r="D4" s="3" t="inlineStr">
        <is>
          <t>Master check</t>
        </is>
      </c>
      <c r="E4" s="68">
        <f>'Checks'!$B$24</f>
        <v/>
      </c>
    </row>
    <row r="6">
      <c r="A6" s="6" t="inlineStr">
        <is>
          <t>EXPECTED RETURN ON OUR SHARES (First-Chicago)</t>
        </is>
      </c>
      <c r="D6" s="6" t="inlineStr">
        <is>
          <t>OUR STAKE</t>
        </is>
      </c>
    </row>
    <row r="7">
      <c r="A7" s="3" t="inlineStr">
        <is>
          <t>Expected equity IRR</t>
        </is>
      </c>
      <c r="B7" s="36">
        <f>'Returns'!$E$37</f>
        <v/>
      </c>
      <c r="D7" s="15" t="inlineStr">
        <is>
          <t>Post-money valuation $m</t>
        </is>
      </c>
      <c r="E7" s="53">
        <f>'Returns'!$B$6</f>
        <v/>
      </c>
    </row>
    <row r="8">
      <c r="A8" s="15" t="inlineStr">
        <is>
          <t>Expected MOIC</t>
        </is>
      </c>
      <c r="B8" s="69">
        <f>'Returns'!$E$36</f>
        <v/>
      </c>
      <c r="D8" s="15" t="inlineStr">
        <is>
          <t>Ownership at entry</t>
        </is>
      </c>
      <c r="E8" s="37">
        <f>'Returns'!$B$7</f>
        <v/>
      </c>
    </row>
    <row r="9">
      <c r="D9" s="15" t="inlineStr">
        <is>
          <t>Ownership at exit (diluted)</t>
        </is>
      </c>
      <c r="E9" s="37">
        <f>'Returns'!$B$8</f>
        <v/>
      </c>
    </row>
    <row r="10">
      <c r="D10" s="15" t="inlineStr">
        <is>
          <t>Liquidation preference (x)</t>
        </is>
      </c>
      <c r="E10" s="69">
        <f>'Assumptions'!$C$17</f>
        <v/>
      </c>
    </row>
    <row r="11">
      <c r="D11" s="15" t="inlineStr">
        <is>
          <t>Exit year</t>
        </is>
      </c>
      <c r="E11" s="42">
        <f>'Assumptions'!$C$18</f>
        <v/>
      </c>
    </row>
    <row r="13">
      <c r="A13" s="6" t="inlineStr">
        <is>
          <t>RETURN ON OUR SHARES BY SCENARIO</t>
        </is>
      </c>
      <c r="D13" s="6" t="inlineStr">
        <is>
          <t>KEY ASSUMPTIONS &amp; FLAG</t>
        </is>
      </c>
    </row>
    <row r="14">
      <c r="A14" s="8" t="inlineStr">
        <is>
          <t>Scenario</t>
        </is>
      </c>
      <c r="B14" s="8" t="inlineStr">
        <is>
          <t>Flip succ</t>
        </is>
      </c>
      <c r="C14" s="8" t="inlineStr">
        <is>
          <t>Equity IRR</t>
        </is>
      </c>
      <c r="D14" s="70" t="inlineStr">
        <is>
          <t>Programme capital $m</t>
        </is>
      </c>
      <c r="E14" s="53">
        <f>'Assumptions'!$C$9</f>
        <v/>
      </c>
    </row>
    <row r="15">
      <c r="A15" s="15" t="inlineStr">
        <is>
          <t>Conservative</t>
        </is>
      </c>
      <c r="B15" s="38">
        <f>'Scenarios'!$B$5*'Assumptions'!$C$27*'Assumptions'!$C$28</f>
        <v/>
      </c>
      <c r="C15" s="37">
        <f>'Returns'!$B$30</f>
        <v/>
      </c>
      <c r="D15" s="71" t="inlineStr">
        <is>
          <t>Projects target</t>
        </is>
      </c>
      <c r="E15" s="42">
        <f>'Assumptions'!$C$10</f>
        <v/>
      </c>
    </row>
    <row r="16">
      <c r="A16" s="15" t="inlineStr">
        <is>
          <t>Base</t>
        </is>
      </c>
      <c r="B16" s="38">
        <f>'Scenarios'!$C$5*'Assumptions'!$C$27*'Assumptions'!$C$28</f>
        <v/>
      </c>
      <c r="C16" s="37">
        <f>'Returns'!$C$30</f>
        <v/>
      </c>
      <c r="D16" s="71" t="inlineStr">
        <is>
          <t>Manager headline DA gate (Base)</t>
        </is>
      </c>
      <c r="E16" s="37">
        <f>'Scenarios'!$C$5</f>
        <v/>
      </c>
    </row>
    <row r="17">
      <c r="A17" s="15" t="inlineStr">
        <is>
          <t>Ideal</t>
        </is>
      </c>
      <c r="B17" s="38">
        <f>'Scenarios'!$D$5*'Assumptions'!$C$27*'Assumptions'!$C$28</f>
        <v/>
      </c>
      <c r="C17" s="37">
        <f>'Returns'!$D$30</f>
        <v/>
      </c>
      <c r="D17" s="71" t="inlineStr">
        <is>
          <t>True flip success (Base, DAxconnxsale)</t>
        </is>
      </c>
      <c r="E17" s="37">
        <f>'Calc_Survival'!$C$13</f>
        <v/>
      </c>
    </row>
    <row r="18">
      <c r="D18" s="15" t="inlineStr">
        <is>
          <t>Independent flip success (benchmark)</t>
        </is>
      </c>
      <c r="E18" s="37">
        <f>'Calc_Survival'!$C$10</f>
        <v/>
      </c>
    </row>
    <row r="20">
      <c r="A20" s="6" t="inlineStr">
        <is>
          <t>Conclusion (illustrative)</t>
        </is>
      </c>
    </row>
    <row r="21">
      <c r="A21" s="14" t="inlineStr">
        <is>
          <t>A real, policy-backed, capital-light niche with a viable RTB exit — but the return on OUR shares is THIN once the gates are modelled and the cap table applied. The 65% headline is the development-approval gate ALONE; true flip success = approval x grid connection x sale is ~36% at Base, so the company's exit equity value is modest and — after dilution and our 1x liquidation preference — the expected return on our shares is only marginally positive while the Conservative case is a total loss. Biggest risks: EXIT/BUYER risk, then development/approval, then the equity-deal terms (all placeholders). Pursue only on verified buyer depth, RTB comps, a survivable downside, and confirmed cap-table terms.</t>
        </is>
      </c>
    </row>
    <row r="22"/>
    <row r="23"/>
    <row r="24"/>
    <row r="25"/>
    <row r="26"/>
  </sheetData>
  <mergeCells count="1">
    <mergeCell ref="A21:E26"/>
  </mergeCells>
  <hyperlinks>
    <hyperlink xmlns:r="http://schemas.openxmlformats.org/officeDocument/2006/relationships" ref="J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08080"/>
    <outlinePr summaryBelow="1" summaryRight="1"/>
    <pageSetUpPr/>
  </sheetPr>
  <dimension ref="A1:J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50" customWidth="1" min="4" max="4"/>
  </cols>
  <sheetData>
    <row r="1">
      <c r="A1" s="1" t="inlineStr">
        <is>
          <t>Sources &amp; Glossary</t>
        </is>
      </c>
      <c r="J1" s="2" t="inlineStr">
        <is>
          <t>↩ Contents</t>
        </is>
      </c>
    </row>
    <row r="3">
      <c r="A3" s="6" t="inlineStr">
        <is>
          <t>Sources (LIVE = fetched; BENCHMARK = documented public benchmark / the manager claim, verify)</t>
        </is>
      </c>
    </row>
    <row r="4">
      <c r="A4" s="8" t="inlineStr">
        <is>
          <t>Input</t>
        </is>
      </c>
      <c r="B4" s="8" t="inlineStr">
        <is>
          <t>Status</t>
        </is>
      </c>
      <c r="C4" s="8" t="inlineStr">
        <is>
          <t>As at</t>
        </is>
      </c>
      <c r="D4" s="8" t="inlineStr">
        <is>
          <t>Source</t>
        </is>
      </c>
    </row>
    <row r="5">
      <c r="A5" s="15" t="inlineStr">
        <is>
          <t>Risk-free rate (RBA 10yr CGS)</t>
        </is>
      </c>
      <c r="B5" s="9" t="inlineStr">
        <is>
          <t>LIVE</t>
        </is>
      </c>
      <c r="C5" s="9" t="inlineStr">
        <is>
          <t>17-Jun-2026</t>
        </is>
      </c>
      <c r="D5" s="14" t="inlineStr">
        <is>
          <t>RBA Statistical Table F2 (Capital Market Yields — 10yr CGS)</t>
        </is>
      </c>
    </row>
    <row r="6">
      <c r="A6" s="15" t="inlineStr">
        <is>
          <t>Built-cost context (CSIRO GenCost)</t>
        </is>
      </c>
      <c r="B6" s="9" t="inlineStr">
        <is>
          <t>BENCHMARK</t>
        </is>
      </c>
      <c r="C6" s="9" t="inlineStr">
        <is>
          <t>2026-06-26</t>
        </is>
      </c>
      <c r="D6" s="14" t="inlineStr">
        <is>
          <t>CSIRO GenCost-anchored build cost; context only — the buyer funds construction</t>
        </is>
      </c>
    </row>
    <row r="7">
      <c r="A7" s="15" t="inlineStr">
        <is>
          <t>Dev cost per project</t>
        </is>
      </c>
      <c r="B7" s="9" t="inlineStr">
        <is>
          <t>BENCHMARK</t>
        </is>
      </c>
      <c r="C7" s="9" t="inlineStr">
        <is>
          <t>2026-06-26</t>
        </is>
      </c>
      <c r="D7" s="14" t="inlineStr">
        <is>
          <t>Manager claim ~$500k/project — verify bottom-up</t>
        </is>
      </c>
    </row>
    <row r="8">
      <c r="A8" s="15" t="inlineStr">
        <is>
          <t>Development-approval prob — public benchmark</t>
        </is>
      </c>
      <c r="B8" s="9" t="inlineStr">
        <is>
          <t>BENCHMARK</t>
        </is>
      </c>
      <c r="C8" s="9" t="inlineStr">
        <is>
          <t>2026-06-24</t>
        </is>
      </c>
      <c r="D8" s="14" t="inlineStr">
        <is>
          <t>NSW Planning Portal — approved vs refused/withdrawn BESS major projects (benchmark)</t>
        </is>
      </c>
    </row>
    <row r="9">
      <c r="A9" s="15" t="inlineStr">
        <is>
          <t>Grid connection prob (AEMO)</t>
        </is>
      </c>
      <c r="B9" s="9" t="inlineStr">
        <is>
          <t>BENCHMARK</t>
        </is>
      </c>
      <c r="C9" s="9" t="inlineStr">
        <is>
          <t>2026-06-24</t>
        </is>
      </c>
      <c r="D9" s="14" t="inlineStr">
        <is>
          <t>AEMO Connections Scorecard / KCI — RTB-stage connection AGREEMENT + GPS (registration / ready-for-construction; NOT energisation) [[TO CONFIRM]]</t>
        </is>
      </c>
    </row>
    <row r="10">
      <c r="A10" s="15" t="inlineStr">
        <is>
          <t>Reach-sale prob (buyer pool / AEMO attrition)</t>
        </is>
      </c>
      <c r="B10" s="9" t="inlineStr">
        <is>
          <t>BENCHMARK</t>
        </is>
      </c>
      <c r="C10" s="9" t="inlineStr">
        <is>
          <t>2026-06-24</t>
        </is>
      </c>
      <c r="D10" s="14" t="inlineStr">
        <is>
          <t>AEMO proposed-&gt;committed attrition + active buyer pool (benchmark)</t>
        </is>
      </c>
    </row>
    <row r="11">
      <c r="A11" s="15" t="inlineStr">
        <is>
          <t>RTB $/MW by state (the manager claim)</t>
        </is>
      </c>
      <c r="B11" s="9" t="inlineStr">
        <is>
          <t>BENCHMARK</t>
        </is>
      </c>
      <c r="C11" s="9" t="inlineStr">
        <is>
          <t>2026-06-26</t>
        </is>
      </c>
      <c r="D11" s="14" t="inlineStr">
        <is>
          <t>RTB $/MW by state (manager claim — independent comps needed)</t>
        </is>
      </c>
    </row>
    <row r="13">
      <c r="A13" s="14" t="inlineStr">
        <is>
          <t>RTB comps: publicly reported deals only; paid DBs (BNEF, Enerdatics, Mergermarket) out of scope. the manager's prices are claims to verify.</t>
        </is>
      </c>
    </row>
    <row r="15">
      <c r="A15" s="6" t="inlineStr">
        <is>
          <t>Glossary</t>
        </is>
      </c>
    </row>
    <row r="16">
      <c r="A16" s="3" t="inlineStr">
        <is>
          <t>RTB</t>
        </is>
      </c>
      <c r="D16" s="14" t="inlineStr">
        <is>
          <t>Ready-to-build / development rights — a shovel-ready project sold before construction.</t>
        </is>
      </c>
    </row>
    <row r="17">
      <c r="A17" s="3" t="inlineStr">
        <is>
          <t>rNPV</t>
        </is>
      </c>
      <c r="D17" s="14" t="inlineStr">
        <is>
          <t>Risk-adjusted NPV — each cash flow × probability of occurring, then discounted.</t>
        </is>
      </c>
    </row>
    <row r="18">
      <c r="A18" s="3" t="inlineStr">
        <is>
          <t>Survival curve / PD</t>
        </is>
      </c>
      <c r="D18" s="14" t="inlineStr">
        <is>
          <t>Cumulative probability a project clears all gates; structurally a multi-period probability-of-default curve.</t>
        </is>
      </c>
    </row>
    <row r="19">
      <c r="A19" s="3" t="inlineStr">
        <is>
          <t>Development funnel</t>
        </is>
      </c>
      <c r="D19" s="14" t="inlineStr">
        <is>
          <t>projects_started = target ÷ flip success; the company funds dev cost on every started project (full on delivered, partial on dropouts).</t>
        </is>
      </c>
    </row>
    <row r="20">
      <c r="A20" s="3" t="inlineStr">
        <is>
          <t>Realised net programme profit</t>
        </is>
      </c>
      <c r="D20" s="14" t="inlineStr">
        <is>
          <t>The company's gross RTB proceeds minus its total development cost — profit EARNED by exit (feeds retained cash; counted once, at face value).</t>
        </is>
      </c>
    </row>
    <row r="21">
      <c r="A21" s="3" t="inlineStr">
        <is>
          <t>Forward pipeline rNPV</t>
        </is>
      </c>
      <c r="D21" s="14" t="inlineStr">
        <is>
          <t>The risk-adjusted value of projects still IN FLIGHT at exit (depth × per-project rNPV) — the PRIMARY exit equity, what a buyer of a development platform pays for.</t>
        </is>
      </c>
    </row>
    <row r="22">
      <c r="A22" s="3" t="inlineStr">
        <is>
          <t>Retained cash / run-rate</t>
        </is>
      </c>
      <c r="D22" s="14" t="inlineStr">
        <is>
          <t>Retained cash = realised profit not yet distributed (carried into the exit value). Run-rate = realised profit ÷ term — the yearly stream the earnings-multiple CROSS-CHECK is applied to.</t>
        </is>
      </c>
    </row>
    <row r="23">
      <c r="A23" s="3" t="inlineStr">
        <is>
          <t>Exit equity (primary)</t>
        </is>
      </c>
      <c r="D23" s="14" t="inlineStr">
        <is>
          <t>Forward-pipeline rNPV + retained cash − debt at exit. The earnings multiple on run-rate profit is a CROSS-CHECK, not the headline.</t>
        </is>
      </c>
    </row>
    <row r="24">
      <c r="A24" s="3" t="inlineStr">
        <is>
          <t>Pre-money / post-money</t>
        </is>
      </c>
      <c r="D24" s="14" t="inlineStr">
        <is>
          <t>Pre-money = the company's agreed value before our money goes in; post-money = pre-money + our investment.</t>
        </is>
      </c>
    </row>
    <row r="25">
      <c r="A25" s="3" t="inlineStr">
        <is>
          <t>Ownership %</t>
        </is>
      </c>
      <c r="D25" s="14" t="inlineStr">
        <is>
          <t>Our share of the company = our investment ÷ post-money valuation.</t>
        </is>
      </c>
    </row>
    <row r="26">
      <c r="A26" s="3" t="inlineStr">
        <is>
          <t>Dilution</t>
        </is>
      </c>
      <c r="D26" s="14" t="inlineStr">
        <is>
          <t>The fall in our ownership % when new shares are issued — here a staff option pool and future funding rounds.</t>
        </is>
      </c>
    </row>
    <row r="27">
      <c r="A27" s="3" t="inlineStr">
        <is>
          <t>Cap table</t>
        </is>
      </c>
      <c r="D27" s="14" t="inlineStr">
        <is>
          <t>The schedule of who owns what % of the company; we run our stake through it to get our exit proceeds.</t>
        </is>
      </c>
    </row>
    <row r="28">
      <c r="A28" s="3" t="inlineStr">
        <is>
          <t>Liquidation preference</t>
        </is>
      </c>
      <c r="D28" s="14" t="inlineStr">
        <is>
          <t>A preferred right to get our money back (1x) before ordinary holders at exit; 1x non-participating means we take the GREATER of that or our as-converted share.</t>
        </is>
      </c>
    </row>
    <row r="29">
      <c r="A29" s="3" t="inlineStr">
        <is>
          <t>MOIC / equity IRR</t>
        </is>
      </c>
      <c r="D29" s="14" t="inlineStr">
        <is>
          <t>Multiple on OUR investment; annualised return on our shares (MOIC^(1/exit year) − 1; a total loss is −100%).</t>
        </is>
      </c>
    </row>
    <row r="30">
      <c r="A30" s="3" t="inlineStr">
        <is>
          <t>First Chicago</t>
        </is>
      </c>
      <c r="D30" s="14" t="inlineStr">
        <is>
          <t>Probability-weight the scenarios' proceeds into a single expected return on our shares.</t>
        </is>
      </c>
    </row>
    <row r="31">
      <c r="A31" s="3" t="inlineStr">
        <is>
          <t>Develop-and-flip</t>
        </is>
      </c>
      <c r="D31" s="14" t="inlineStr">
        <is>
          <t>Develop, de-risk, then sell RTB — the margin is the value uplift; merchant risk passes to the buyer.</t>
        </is>
      </c>
    </row>
  </sheetData>
  <hyperlinks>
    <hyperlink xmlns:r="http://schemas.openxmlformats.org/officeDocument/2006/relationships" ref="J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2026-06-30T04:53:45Z</dcterms:created>
  <dcterms:modified xmlns:dcterms="http://purl.org/dc/terms/" xmlns:xsi="http://www.w3.org/2001/XMLSchema-instance" xsi:type="dcterms:W3CDTF">2026-06-30T04:53:45Z</dcterms:modified>
</cp:coreProperties>
</file>