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Jane\Job Search\Investment Analysis Role\portfolio\pe\vc_battery\financial_models\"/>
    </mc:Choice>
  </mc:AlternateContent>
  <xr:revisionPtr revIDLastSave="0" documentId="13_ncr:1_{389BEBFD-7DA7-4C31-ADF9-D70100570A8A}" xr6:coauthVersionLast="47" xr6:coauthVersionMax="47" xr10:uidLastSave="{00000000-0000-0000-0000-000000000000}"/>
  <bookViews>
    <workbookView xWindow="-120" yWindow="-120" windowWidth="29040" windowHeight="15720" tabRatio="915" firstSheet="4" activeTab="14" xr2:uid="{00000000-000D-0000-FFFF-FFFF00000000}"/>
  </bookViews>
  <sheets>
    <sheet name="Cover" sheetId="1" r:id="rId1"/>
    <sheet name="Contents" sheetId="2" r:id="rId2"/>
    <sheet name="Change Log" sheetId="3" r:id="rId3"/>
    <sheet name="Inputs" sheetId="4" r:id="rId4"/>
    <sheet name="Timeline" sheetId="5" r:id="rId5"/>
    <sheet name="Scenarios" sheetId="6" r:id="rId6"/>
    <sheet name="Calc_Survival" sheetId="7" r:id="rId7"/>
    <sheet name="Calc_Project_rNPV" sheetId="8" r:id="rId8"/>
    <sheet name="Calc_Company" sheetId="9" r:id="rId9"/>
    <sheet name="Returns" sheetId="10" r:id="rId10"/>
    <sheet name="Calc_CrossChecks" sheetId="11" r:id="rId11"/>
    <sheet name="Sensitivity" sheetId="12" r:id="rId12"/>
    <sheet name="Checks" sheetId="13" r:id="rId13"/>
    <sheet name="Dashboard" sheetId="14" r:id="rId14"/>
    <sheet name="Raw_Inputs" sheetId="16" r:id="rId15"/>
    <sheet name="Raw_Assumptions" sheetId="17" r:id="rId16"/>
    <sheet name="Inputs (2)" sheetId="22" r:id="rId17"/>
    <sheet name="Assumptions (2)" sheetId="21" r:id="rId18"/>
    <sheet name="Sources &amp; Glossary" sheetId="15" r:id="rId19"/>
  </sheets>
  <definedNames>
    <definedName name="ExternalData_1" localSheetId="17" hidden="1">'Assumptions (2)'!$A$1:$G$37</definedName>
    <definedName name="ExternalData_2" localSheetId="16" hidden="1">'Inputs (2)'!$A$1:$I$20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1" l="1"/>
  <c r="B4" i="14"/>
  <c r="B16" i="14"/>
  <c r="E15" i="14"/>
  <c r="B15" i="14"/>
  <c r="E14" i="14"/>
  <c r="E11" i="14"/>
  <c r="E10" i="14"/>
  <c r="B26" i="13"/>
  <c r="B22" i="13"/>
  <c r="B10" i="13"/>
  <c r="B9" i="13"/>
  <c r="B8" i="13"/>
  <c r="B6" i="13"/>
  <c r="B4" i="13"/>
  <c r="H23" i="12"/>
  <c r="I23" i="12" s="1"/>
  <c r="J23" i="12" s="1"/>
  <c r="H22" i="12"/>
  <c r="I22" i="12" s="1"/>
  <c r="J22" i="12" s="1"/>
  <c r="B14" i="12"/>
  <c r="B13" i="12"/>
  <c r="B11" i="12"/>
  <c r="B9" i="12"/>
  <c r="B8" i="12"/>
  <c r="B7" i="12"/>
  <c r="B6" i="12"/>
  <c r="B4" i="12"/>
  <c r="C24" i="11"/>
  <c r="D24" i="11" s="1"/>
  <c r="B24" i="11"/>
  <c r="C23" i="11"/>
  <c r="B23" i="11"/>
  <c r="D23" i="11" s="1"/>
  <c r="D22" i="11"/>
  <c r="C22" i="11"/>
  <c r="B22" i="11"/>
  <c r="C17" i="11"/>
  <c r="C16" i="11"/>
  <c r="C14" i="11"/>
  <c r="C8" i="11"/>
  <c r="C52" i="10"/>
  <c r="C51" i="10"/>
  <c r="D34" i="10"/>
  <c r="C34" i="10"/>
  <c r="C16" i="10"/>
  <c r="C17" i="10" s="1"/>
  <c r="B16" i="10"/>
  <c r="B17" i="10" s="1"/>
  <c r="B15" i="10"/>
  <c r="B18" i="10" s="1"/>
  <c r="D14" i="10"/>
  <c r="D15" i="10" s="1"/>
  <c r="D18" i="10" s="1"/>
  <c r="D13" i="10"/>
  <c r="B5" i="10"/>
  <c r="B4" i="10"/>
  <c r="B6" i="10" s="1"/>
  <c r="C23" i="9"/>
  <c r="C20" i="9"/>
  <c r="C6" i="9"/>
  <c r="D9" i="8"/>
  <c r="C9" i="8"/>
  <c r="B9" i="8"/>
  <c r="E9" i="8" s="1"/>
  <c r="A9" i="8"/>
  <c r="E8" i="8"/>
  <c r="D8" i="8"/>
  <c r="C8" i="8"/>
  <c r="B8" i="8"/>
  <c r="A8" i="8"/>
  <c r="E7" i="8"/>
  <c r="N7" i="8" s="1"/>
  <c r="D7" i="8"/>
  <c r="C7" i="8"/>
  <c r="B7" i="8"/>
  <c r="A7" i="8"/>
  <c r="D6" i="8"/>
  <c r="C6" i="8"/>
  <c r="B6" i="8"/>
  <c r="E6" i="8" s="1"/>
  <c r="A6" i="8"/>
  <c r="D5" i="8"/>
  <c r="C5" i="8"/>
  <c r="C4" i="11" s="1"/>
  <c r="B5" i="8"/>
  <c r="E5" i="8" s="1"/>
  <c r="A5" i="8"/>
  <c r="D4" i="8"/>
  <c r="C4" i="8"/>
  <c r="C10" i="8" s="1"/>
  <c r="B4" i="8"/>
  <c r="E4" i="8" s="1"/>
  <c r="A4" i="8"/>
  <c r="C13" i="7"/>
  <c r="E17" i="14" s="1"/>
  <c r="C12" i="7"/>
  <c r="C9" i="7"/>
  <c r="C10" i="7" s="1"/>
  <c r="E18" i="14" s="1"/>
  <c r="B6" i="7"/>
  <c r="B5" i="7"/>
  <c r="D13" i="6"/>
  <c r="C13" i="6"/>
  <c r="B13" i="6"/>
  <c r="E9" i="6"/>
  <c r="D7" i="6"/>
  <c r="C7" i="6"/>
  <c r="E7" i="6" s="1"/>
  <c r="B7" i="6"/>
  <c r="B14" i="10" s="1"/>
  <c r="D6" i="6"/>
  <c r="C6" i="6"/>
  <c r="E6" i="6" s="1"/>
  <c r="F9" i="8" s="1"/>
  <c r="B6" i="6"/>
  <c r="B13" i="10" s="1"/>
  <c r="E5" i="6"/>
  <c r="B4" i="7" s="1"/>
  <c r="C4" i="7" s="1"/>
  <c r="C5" i="7" s="1"/>
  <c r="C6" i="7" s="1"/>
  <c r="C7" i="7" s="1"/>
  <c r="D5" i="6"/>
  <c r="D12" i="10" s="1"/>
  <c r="D16" i="10" s="1"/>
  <c r="D17" i="10" s="1"/>
  <c r="C5" i="6"/>
  <c r="C12" i="10" s="1"/>
  <c r="B5" i="6"/>
  <c r="B12" i="10" s="1"/>
  <c r="B3" i="6"/>
  <c r="E4" i="5"/>
  <c r="D4" i="5"/>
  <c r="C4" i="5"/>
  <c r="B4" i="5"/>
  <c r="F45" i="4"/>
  <c r="F44" i="4"/>
  <c r="F43" i="4"/>
  <c r="F42" i="4"/>
  <c r="F41" i="4"/>
  <c r="F40" i="4"/>
  <c r="C7" i="4"/>
  <c r="B7" i="1"/>
  <c r="E7" i="14" l="1"/>
  <c r="B11" i="13"/>
  <c r="J6" i="8"/>
  <c r="J7" i="8"/>
  <c r="J8" i="8"/>
  <c r="C5" i="9"/>
  <c r="C7" i="9" s="1"/>
  <c r="C8" i="9" s="1"/>
  <c r="J4" i="8"/>
  <c r="J9" i="8"/>
  <c r="B5" i="13"/>
  <c r="J5" i="8"/>
  <c r="H5" i="8"/>
  <c r="H6" i="8"/>
  <c r="H7" i="8"/>
  <c r="C9" i="9"/>
  <c r="H8" i="8"/>
  <c r="H4" i="8"/>
  <c r="H9" i="8"/>
  <c r="N9" i="8"/>
  <c r="C14" i="7"/>
  <c r="F7" i="8"/>
  <c r="G7" i="8"/>
  <c r="N5" i="8"/>
  <c r="G9" i="8"/>
  <c r="I9" i="8" s="1"/>
  <c r="K9" i="8" s="1"/>
  <c r="M9" i="8" s="1"/>
  <c r="F4" i="8"/>
  <c r="F5" i="8"/>
  <c r="G5" i="8" s="1"/>
  <c r="I5" i="8" s="1"/>
  <c r="K5" i="8" s="1"/>
  <c r="M5" i="8" s="1"/>
  <c r="F6" i="8"/>
  <c r="G4" i="8"/>
  <c r="E13" i="6"/>
  <c r="B15" i="13" s="1"/>
  <c r="C14" i="10"/>
  <c r="C15" i="10" s="1"/>
  <c r="C18" i="10" s="1"/>
  <c r="C6" i="11"/>
  <c r="C13" i="11" s="1"/>
  <c r="C15" i="11" s="1"/>
  <c r="C18" i="11" s="1"/>
  <c r="C42" i="10" s="1"/>
  <c r="L7" i="8"/>
  <c r="L8" i="8"/>
  <c r="L9" i="8"/>
  <c r="E5" i="5"/>
  <c r="L5" i="8"/>
  <c r="B5" i="5"/>
  <c r="D5" i="5"/>
  <c r="L6" i="8"/>
  <c r="F8" i="8"/>
  <c r="G8" i="8" s="1"/>
  <c r="I8" i="8" s="1"/>
  <c r="K8" i="8" s="1"/>
  <c r="M8" i="8" s="1"/>
  <c r="B7" i="10"/>
  <c r="B34" i="10"/>
  <c r="C5" i="11"/>
  <c r="C17" i="9"/>
  <c r="N8" i="8"/>
  <c r="C5" i="5"/>
  <c r="L4" i="8"/>
  <c r="N4" i="8"/>
  <c r="C18" i="9"/>
  <c r="B12" i="12" s="1"/>
  <c r="H21" i="12"/>
  <c r="I21" i="12" s="1"/>
  <c r="J21" i="12" s="1"/>
  <c r="H20" i="12"/>
  <c r="I20" i="12" s="1"/>
  <c r="J20" i="12" s="1"/>
  <c r="H24" i="12"/>
  <c r="I24" i="12" s="1"/>
  <c r="J24" i="12" s="1"/>
  <c r="C13" i="10"/>
  <c r="G6" i="8"/>
  <c r="N6" i="8"/>
  <c r="C7" i="11"/>
  <c r="E16" i="14"/>
  <c r="B17" i="14"/>
  <c r="B8" i="10" l="1"/>
  <c r="C49" i="10"/>
  <c r="E8" i="14"/>
  <c r="B50" i="10"/>
  <c r="B12" i="13"/>
  <c r="B49" i="10"/>
  <c r="B53" i="10" s="1"/>
  <c r="M11" i="8"/>
  <c r="I7" i="8"/>
  <c r="K7" i="8" s="1"/>
  <c r="M7" i="8" s="1"/>
  <c r="I6" i="8"/>
  <c r="K6" i="8" s="1"/>
  <c r="M6" i="8" s="1"/>
  <c r="G10" i="8"/>
  <c r="B7" i="13"/>
  <c r="I4" i="8"/>
  <c r="K4" i="8" s="1"/>
  <c r="M4" i="8" s="1"/>
  <c r="C9" i="11"/>
  <c r="C41" i="10" s="1"/>
  <c r="H10" i="8"/>
  <c r="C10" i="9"/>
  <c r="B13" i="13" l="1"/>
  <c r="B5" i="12"/>
  <c r="E9" i="14"/>
  <c r="C50" i="10"/>
  <c r="C19" i="9"/>
  <c r="C21" i="9" s="1"/>
  <c r="B10" i="12"/>
  <c r="E18" i="12"/>
  <c r="D19" i="10"/>
  <c r="D20" i="10" s="1"/>
  <c r="D22" i="10" s="1"/>
  <c r="D18" i="12"/>
  <c r="C19" i="10"/>
  <c r="C20" i="10" s="1"/>
  <c r="C22" i="10" s="1"/>
  <c r="D21" i="10"/>
  <c r="C21" i="10"/>
  <c r="G18" i="12"/>
  <c r="B21" i="10"/>
  <c r="B23" i="10" s="1"/>
  <c r="B25" i="10" s="1"/>
  <c r="B19" i="10"/>
  <c r="B20" i="10" s="1"/>
  <c r="B22" i="10" s="1"/>
  <c r="F18" i="12"/>
  <c r="C18" i="12"/>
  <c r="C12" i="9"/>
  <c r="C13" i="9" s="1"/>
  <c r="C14" i="9" s="1"/>
  <c r="M10" i="8"/>
  <c r="C40" i="10" s="1"/>
  <c r="C53" i="10"/>
  <c r="B19" i="13" s="1"/>
  <c r="L23" i="12" l="1"/>
  <c r="M23" i="12"/>
  <c r="L21" i="12"/>
  <c r="N23" i="12"/>
  <c r="P21" i="12"/>
  <c r="M21" i="12"/>
  <c r="O22" i="12"/>
  <c r="U22" i="12" s="1"/>
  <c r="F22" i="12" s="1"/>
  <c r="N24" i="12"/>
  <c r="T24" i="12" s="1"/>
  <c r="E24" i="12" s="1"/>
  <c r="M24" i="12"/>
  <c r="L24" i="12"/>
  <c r="P22" i="12"/>
  <c r="V22" i="12" s="1"/>
  <c r="G22" i="12" s="1"/>
  <c r="L20" i="12"/>
  <c r="R20" i="12" s="1"/>
  <c r="C20" i="12" s="1"/>
  <c r="O24" i="12"/>
  <c r="U24" i="12" s="1"/>
  <c r="F24" i="12" s="1"/>
  <c r="M22" i="12"/>
  <c r="S22" i="12" s="1"/>
  <c r="D22" i="12" s="1"/>
  <c r="M20" i="12"/>
  <c r="S20" i="12" s="1"/>
  <c r="D20" i="12" s="1"/>
  <c r="P24" i="12"/>
  <c r="V24" i="12" s="1"/>
  <c r="G24" i="12" s="1"/>
  <c r="N21" i="12"/>
  <c r="N22" i="12"/>
  <c r="L22" i="12"/>
  <c r="O23" i="12"/>
  <c r="O20" i="12"/>
  <c r="O21" i="12"/>
  <c r="U21" i="12" s="1"/>
  <c r="F21" i="12" s="1"/>
  <c r="P20" i="12"/>
  <c r="N20" i="12"/>
  <c r="T20" i="12" s="1"/>
  <c r="E20" i="12" s="1"/>
  <c r="P23" i="12"/>
  <c r="V23" i="12" s="1"/>
  <c r="G23" i="12" s="1"/>
  <c r="B26" i="10"/>
  <c r="B28" i="10" s="1"/>
  <c r="C45" i="10"/>
  <c r="C44" i="10"/>
  <c r="C43" i="10"/>
  <c r="C15" i="9"/>
  <c r="C22" i="9"/>
  <c r="E18" i="13"/>
  <c r="B27" i="10"/>
  <c r="C27" i="10"/>
  <c r="B24" i="10"/>
  <c r="R23" i="12"/>
  <c r="C23" i="12" s="1"/>
  <c r="T22" i="12"/>
  <c r="E22" i="12" s="1"/>
  <c r="V21" i="12"/>
  <c r="G21" i="12" s="1"/>
  <c r="S24" i="12"/>
  <c r="D24" i="12" s="1"/>
  <c r="U23" i="12"/>
  <c r="F23" i="12" s="1"/>
  <c r="R24" i="12"/>
  <c r="C24" i="12" s="1"/>
  <c r="T23" i="12"/>
  <c r="E23" i="12" s="1"/>
  <c r="S23" i="12"/>
  <c r="D23" i="12" s="1"/>
  <c r="T21" i="12"/>
  <c r="E21" i="12" s="1"/>
  <c r="S21" i="12"/>
  <c r="D21" i="12" s="1"/>
  <c r="R21" i="12"/>
  <c r="C21" i="12" s="1"/>
  <c r="R22" i="12"/>
  <c r="C22" i="12" s="1"/>
  <c r="V20" i="12"/>
  <c r="G20" i="12" s="1"/>
  <c r="U20" i="12"/>
  <c r="F20" i="12" s="1"/>
  <c r="C23" i="10"/>
  <c r="D23" i="10"/>
  <c r="D27" i="10"/>
  <c r="G18" i="13" l="1"/>
  <c r="C27" i="9"/>
  <c r="C28" i="9"/>
  <c r="C26" i="9"/>
  <c r="C24" i="9"/>
  <c r="D25" i="10"/>
  <c r="D24" i="10"/>
  <c r="B35" i="10"/>
  <c r="B29" i="10"/>
  <c r="C56" i="10"/>
  <c r="B21" i="13"/>
  <c r="C25" i="10"/>
  <c r="C24" i="10"/>
  <c r="C26" i="10" l="1"/>
  <c r="B30" i="10"/>
  <c r="D26" i="10"/>
  <c r="D28" i="10" s="1"/>
  <c r="C15" i="14" l="1"/>
  <c r="D35" i="10"/>
  <c r="D29" i="10"/>
  <c r="D30" i="10" s="1"/>
  <c r="C17" i="14" s="1"/>
  <c r="C57" i="10"/>
  <c r="C28" i="10"/>
  <c r="C29" i="10" l="1"/>
  <c r="C35" i="10"/>
  <c r="E35" i="10" s="1"/>
  <c r="E36" i="10" s="1"/>
  <c r="B17" i="13"/>
  <c r="C58" i="10"/>
  <c r="C59" i="10" s="1"/>
  <c r="B20" i="13" s="1"/>
  <c r="E37" i="10" l="1"/>
  <c r="B8" i="14"/>
  <c r="C30" i="10"/>
  <c r="B14" i="13"/>
  <c r="B7" i="14" l="1"/>
  <c r="G16" i="13"/>
  <c r="C16" i="14"/>
  <c r="F16" i="13"/>
  <c r="F18" i="13"/>
  <c r="B18" i="13" s="1"/>
  <c r="E16" i="13"/>
  <c r="B16" i="13" l="1"/>
  <c r="B24" i="13" s="1"/>
  <c r="B8" i="1" l="1"/>
  <c r="E4" i="1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C44EB47-65C7-444B-9173-41DD0DF7CEE4}" keepAlive="1" name="查询 - Assumptions(1)" description="与工作簿中“Assumptions”查询的连接。" type="5" refreshedVersion="8" background="1" saveData="1">
    <dbPr connection="Provider=Microsoft.Mashup.OleDb.1;Data Source=$Workbook$;Location=Assumptions;Extended Properties=&quot;&quot;" command="SELECT * FROM [Assumptions]"/>
  </connection>
  <connection id="2" xr16:uid="{E6037B46-2F85-4E14-A782-4A7FD48A3038}" keepAlive="1" name="查询 - Inputs" description="与工作簿中“Inputs”查询的连接。" type="5" refreshedVersion="8" background="1" saveData="1">
    <dbPr connection="Provider=Microsoft.Mashup.OleDb.1;Data Source=$Workbook$;Location=Inputs;Extended Properties=&quot;&quot;" command="SELECT * FROM [Inputs]"/>
  </connection>
</connections>
</file>

<file path=xl/sharedStrings.xml><?xml version="1.0" encoding="utf-8"?>
<sst xmlns="http://schemas.openxmlformats.org/spreadsheetml/2006/main" count="1189" uniqueCount="597">
  <si>
    <t>Battery-Developer Startup Valuation — Direct-Equity Stake</t>
  </si>
  <si>
    <t>↩ Contents</t>
  </si>
  <si>
    <t>Subtitle</t>
  </si>
  <si>
    <t>Return on OUR shares (equity IRR/MOIC) in an illustrative distribution-BESS develop-and-flip startup (NSW/VIC/SA)</t>
  </si>
  <si>
    <t>Version</t>
  </si>
  <si>
    <t>v3.0</t>
  </si>
  <si>
    <t>Author</t>
  </si>
  <si>
    <t>Portfolio project (independent rebuild; founder/manager claims verified)</t>
  </si>
  <si>
    <t>Date</t>
  </si>
  <si>
    <t>2026-06-26</t>
  </si>
  <si>
    <t>Currency / Units</t>
  </si>
  <si>
    <t>AUD, $ millions ($m)</t>
  </si>
  <si>
    <t>Active scenario</t>
  </si>
  <si>
    <t>MASTER CHECK</t>
  </si>
  <si>
    <t>Decision brief</t>
  </si>
  <si>
    <t>Decision</t>
  </si>
  <si>
    <t>Whether to buy SHARES DIRECTLY (a minority equity stake) in an (illustrative) develop-and-flip RTB battery startup, and at what expected return on our shares.</t>
  </si>
  <si>
    <t>Structure</t>
  </si>
  <si>
    <t>We invest as a SHAREHOLDER, NOT as a fund limited partner. A cap table (pre-/post-money, ownership, dilution, 1x liquidation preference) turns the company's exit equity value into OUR return. The equity-deal terms are PLACEHOLDERS to confirm.</t>
  </si>
  <si>
    <t>Exit basis</t>
  </si>
  <si>
    <t>PRIMARY exit equity = forward-pipeline rNPV (projects in flight at exit) + retained cash − debt — what a buyer of a development platform pays. The earnings multiple is a CROSS-CHECK only (run-rate × a sourced low/base/high range). Pipeline depth at exit is the main sensitivity (Exhibit D).</t>
  </si>
  <si>
    <t>Reframe</t>
  </si>
  <si>
    <t>The company sells RTB before construction — MERCHANT RISK PASSES TO THE BUYER. Its risk is the survival curve (approve→connect→sell) + the RTB price; ours is also dilution and the cap-table terms.</t>
  </si>
  <si>
    <t>Outputs</t>
  </si>
  <si>
    <t>Cap table, return on our shares (equity IRR &amp; MOIC) by scenario, First-Chicago expected return, forward-pipeline exit + earnings-multiple cross-check, per-pipeline valuation cross-check, sensitivities.</t>
  </si>
  <si>
    <t>Detail / horizon</t>
  </si>
  <si>
    <t>Company programme ~2+1-year cycle; our exit year is a placeholder. AUD, $m.</t>
  </si>
  <si>
    <t>Out of scope</t>
  </si>
  <si>
    <t>Post-sale operating/merchant cash flows, construction (buyer-funded), full multi-round waterfall, tax structuring, FX, debt.</t>
  </si>
  <si>
    <t>Standards followed</t>
  </si>
  <si>
    <t>FAST / ICAEW / Macabacus / Operis + VC-method structure: Inputs→Calcs→Outputs zones; one Timeline; one-row-one-calc; no hardcodes in formulas; CHOOSE scenario switch + live-case row; checks built alongside; colour code (blue input / black formula / green link); INDEX-MATCH not VLOOKUP; IFERROR on division. VC method: work back from the company's exit equity value through the cap table; ownership = investment ÷ post-money; the required/target return (≥25%, VC cross-check) is a RETURN HURDLE that compensates for failure risk — NOT a WACC — and failure risk is also handled explicitly via First-Chicago scenario weighting.</t>
  </si>
  <si>
    <t>Judgement inputs to OWN (review pass)</t>
  </si>
  <si>
    <t>Discount rate &amp; premium • the THREE scenario success rates (vs the independent benchmark) • RTB $/MW by state (need independent comps) • dev cost per project &amp; abandonment • the equity-deal terms (pre-money, our cheque, option pool, future dilution, liquidation preference, exit year) • the EXIT-VALUE drivers (pipeline depth at exit, distribution fraction, debt at exit, and the cross-check multiple range — ALL placeholders). Founder/manager figures are CLAIMS to verify — defend your own.</t>
  </si>
  <si>
    <t>TO COMPLETE (analyst review pass)</t>
  </si>
  <si>
    <t>1. Trace every formula + colour audit; confirm master check = OK; stress the switch in all 3 positions.  2. Replace BENCHMARK / claim inputs with verified independent values (RTB comps, per-state success, dev cost) and CONFIRM the cap-table terms against a term sheet.  3. Stress a downside where RTB prices are 20–30% lower and success ≈ the independent benchmark; confirm our shares can be wiped out (Conservative = total loss).  4. Pressure-test the EXIT BASIS (now the biggest swing factor): vary pipeline depth at exit and the discount rate (Exhibit D); confirm comps if any (else the pipeline basis stands).  5. Depth left out: a SINGLE funding round and a 1× NON-PARTICIPATING liquidation preference are scaffolded — add later rounds (Series B/C) to the cap table, and participation / anti-dilution / accrued preferred dividends if the term sheet carries them.</t>
  </si>
  <si>
    <t>DISCLAIMER</t>
  </si>
  <si>
    <t>ILLUSTRATIVE startup built from public benchmark data; an INDEPENDENT rebuild (not an endorsement). NOT investment advice. Wholesale-investor context; read the term sheet / IM. The equity-deal terms are placeholders to confirm. All figures illustrative and must be independently verified. Capital is at risk.</t>
  </si>
  <si>
    <t>Contents</t>
  </si>
  <si>
    <t>#</t>
  </si>
  <si>
    <t>Sheet</t>
  </si>
  <si>
    <t>Purpose</t>
  </si>
  <si>
    <t>Cover</t>
  </si>
  <si>
    <t>Title, decision brief, master check, disclaimer</t>
  </si>
  <si>
    <t>This page</t>
  </si>
  <si>
    <t>Change Log</t>
  </si>
  <si>
    <t>Version history</t>
  </si>
  <si>
    <t>Assumptions</t>
  </si>
  <si>
    <t>All assumptions + cap-table deal terms + imported data (blue)</t>
  </si>
  <si>
    <t>Timeline</t>
  </si>
  <si>
    <t>Master timeline (built once)</t>
  </si>
  <si>
    <t>Scenarios</t>
  </si>
  <si>
    <t>Scenarios + switch (DA gate) + live case + weights</t>
  </si>
  <si>
    <t>Calc_Survival</t>
  </si>
  <si>
    <t>Separate gates; flip success = DA × connection × sale + flag</t>
  </si>
  <si>
    <t>Calc_Project_rNPV</t>
  </si>
  <si>
    <t>Per-project risk-adjusted NAV (RTB − dev cost)</t>
  </si>
  <si>
    <t>Calc_Company</t>
  </si>
  <si>
    <t>Company programme: funnel → realised profit + forward-pipeline rNPV → exit equity value (+ earnings cross-check)</t>
  </si>
  <si>
    <t>Returns</t>
  </si>
  <si>
    <t>Cap table; return on OUR shares (equity IRR/MOIC) by scenario, First-Chicago, valuation range</t>
  </si>
  <si>
    <t>Calc_CrossChecks</t>
  </si>
  <si>
    <t>$/MW benchmark, VC method, RTB vs built</t>
  </si>
  <si>
    <t>Sensitivity</t>
  </si>
  <si>
    <t>Our equity IRR grid (development approval × RTB price)</t>
  </si>
  <si>
    <t>Checks</t>
  </si>
  <si>
    <t>Integrity checks + master check</t>
  </si>
  <si>
    <t>Dashboard</t>
  </si>
  <si>
    <t>One-page IC summary</t>
  </si>
  <si>
    <t>Sources &amp; Glossary</t>
  </si>
  <si>
    <t>Sources + glossary</t>
  </si>
  <si>
    <t>Raw_Inputs</t>
  </si>
  <si>
    <t>Raw_Assumptions</t>
  </si>
  <si>
    <t>Change</t>
  </si>
  <si>
    <t>v1.0</t>
  </si>
  <si>
    <t>Initial build: survival curve, per-project rNPV, programme funnel, returns, First-Chicago, cross-checks, sensitivity, checks, dashboard.</t>
  </si>
  <si>
    <t>Analyst (v1 draft)</t>
  </si>
  <si>
    <t>v2.0</t>
  </si>
  <si>
    <t>Reframed from a fund LP investment to a DIRECT-EQUITY stake: removed fees/carry/hurdle; renamed Calc_Fund→Calc_Company (programme → net profit → company exit equity value); added a cap table (pre-/post-money, ownership, dilution, 1x liquidation preference) on Returns; outputs are now the return on OUR shares (equity IRR/MOIC), First-Chicago weights proceeds; sensitivity outputs our equity IRR.</t>
  </si>
  <si>
    <t>Analyst (v2 reframe)</t>
  </si>
  <si>
    <t>Fixed the exit-value basis (change2.md): PRIMARY exit equity is now FORWARD-PIPELINE rNPV (depth × per-project) + retained cash − debt, not net profit × a platform multiple. The earnings multiple is demoted to a CROSS-CHECK on FORWARD RUN-RATE profit (a sourced low/base/high range). Added pipeline depth / distribution-fraction / debt inputs; a retained-cash double-count guard; and the exit-value sensitivity (Exhibit D). Return = terminal proceeds + interim distributions (convention (b)).</t>
  </si>
  <si>
    <t>Analyst (v3 exit-basis)</t>
  </si>
  <si>
    <t>v4.0</t>
  </si>
  <si>
    <t>Added input PROVENANCE (change5): every price/value input tagged Proposed (manager) / Independent (verified) / Placeholder, plus a contamination guard so the independent rNPV consumes only verified inputs. RTB $/MW and dev cost are the manager's UNVERIFIED claims, so the independent value is illustrative pending verification (advisory on this tab). Anonymised: no real names; all monetary figures are illustrative placeholders.</t>
  </si>
  <si>
    <t>Analyst (v4 provenance)</t>
  </si>
  <si>
    <t>[Analyst review pass — record changes here]</t>
  </si>
  <si>
    <t>ASSUMPTIONS — the single junction; every driver flows from here (blue = input cell)</t>
  </si>
  <si>
    <t>We buy SHARES directly in an ILLUSTRATIVE battery-developer startup (not a fund LP). Founder/manager figures are CLAIMS — verify; the equity-deal terms are placeholders to confirm. Every input traces to a source.</t>
  </si>
  <si>
    <t>Assumption</t>
  </si>
  <si>
    <t>Value</t>
  </si>
  <si>
    <t>Unit</t>
  </si>
  <si>
    <t>Source</t>
  </si>
  <si>
    <t>As at</t>
  </si>
  <si>
    <t>Status</t>
  </si>
  <si>
    <t>Duration (yrs)</t>
  </si>
  <si>
    <t>Discount rate (rNPV / cross-checks)</t>
  </si>
  <si>
    <t>Risk-free rate (RBA 10yr CGS)</t>
  </si>
  <si>
    <t>decimal</t>
  </si>
  <si>
    <t>RBA Statistical Table F2 (Capital Market Yields — 10yr CGS)</t>
  </si>
  <si>
    <t>17-Jun-2026</t>
  </si>
  <si>
    <t>LIVE</t>
  </si>
  <si>
    <t>Development risk premium</t>
  </si>
  <si>
    <t>Illustrative / the manager claim (see config)</t>
  </si>
  <si>
    <t>BENCHMARK</t>
  </si>
  <si>
    <t>Base discount rate</t>
  </si>
  <si>
    <t>The company's development programme (the startup we buy shares in)</t>
  </si>
  <si>
    <t>Programme capital (company's dev programme)</t>
  </si>
  <si>
    <t>$m</t>
  </si>
  <si>
    <t>Projects target (delivered &amp; sold)</t>
  </si>
  <si>
    <t>count</t>
  </si>
  <si>
    <t>Term</t>
  </si>
  <si>
    <t>years</t>
  </si>
  <si>
    <t>Direct-equity deal terms (cap table) — placeholders to confirm</t>
  </si>
  <si>
    <t>Pre-money valuation</t>
  </si>
  <si>
    <t>TO CONFIRM</t>
  </si>
  <si>
    <t>Our investment</t>
  </si>
  <si>
    <t>Option pool % (created at our round)</t>
  </si>
  <si>
    <t>Future-round dilution %</t>
  </si>
  <si>
    <t>Liquidation preference (x)</t>
  </si>
  <si>
    <t>multiple</t>
  </si>
  <si>
    <t>Exit year (we sell our shares)</t>
  </si>
  <si>
    <t>Development cost &amp; funnel attrition</t>
  </si>
  <si>
    <t>Development cost per project</t>
  </si>
  <si>
    <t>$m/project</t>
  </si>
  <si>
    <t>Manager claim ~$500k/project — verify bottom-up</t>
  </si>
  <si>
    <t>Abandonment fraction (failed projects)</t>
  </si>
  <si>
    <t>Build cost CONTEXT (buyer-funded — NOT in margin)</t>
  </si>
  <si>
    <t>Built-asset cost (context)</t>
  </si>
  <si>
    <t>$m/MW</t>
  </si>
  <si>
    <t>CSIRO GenCost-anchored build cost; context only — the buyer funds construction</t>
  </si>
  <si>
    <t>Survival gates — SEPARATE; scenarios move ONLY development approval</t>
  </si>
  <si>
    <t>Development approval — public benchmark</t>
  </si>
  <si>
    <t>prob</t>
  </si>
  <si>
    <t>NSW Planning Portal — approved vs refused/withdrawn BESS major projects (benchmark)</t>
  </si>
  <si>
    <t>2026-06-24</t>
  </si>
  <si>
    <t>Grid connection — RTB rights (agreement + GPS)</t>
  </si>
  <si>
    <t>AEMO Connections Scorecard / KCI — RTB-stage connection AGREEMENT + GPS (registration / ready-for-construction; NOT energisation) [[TO CONFIRM]]</t>
  </si>
  <si>
    <t>Reach sale — flip exit (separate gate)</t>
  </si>
  <si>
    <t>AEMO proposed-&gt;committed attrition + active buyer pool (benchmark)</t>
  </si>
  <si>
    <t>RTB exit price — $/MW by state (the manager claim — verify)</t>
  </si>
  <si>
    <t>NSW</t>
  </si>
  <si>
    <t>RTB $/MW by state (manager claim — independent comps needed)</t>
  </si>
  <si>
    <t>VIC</t>
  </si>
  <si>
    <t>SA</t>
  </si>
  <si>
    <t>VC method</t>
  </si>
  <si>
    <t>VC target return (cross-check)</t>
  </si>
  <si>
    <t>Investor cash-flow profile (period 0..3; each sums to 100%)</t>
  </si>
  <si>
    <t>Capital call profile</t>
  </si>
  <si>
    <t>Distribution profile</t>
  </si>
  <si>
    <t>Illustrative pipeline (representative ~5 MW distribution projects)</t>
  </si>
  <si>
    <t>Project</t>
  </si>
  <si>
    <t>State</t>
  </si>
  <si>
    <t>Location</t>
  </si>
  <si>
    <t>MW</t>
  </si>
  <si>
    <t>Duration (h)</t>
  </si>
  <si>
    <t>MWh</t>
  </si>
  <si>
    <t>Years to sale</t>
  </si>
  <si>
    <t>Riverina 5MW BESS (illustrative)</t>
  </si>
  <si>
    <t>Wagga Wagga, NSW</t>
  </si>
  <si>
    <t>Hunter Edge 5MW BESS (illustrative)</t>
  </si>
  <si>
    <t>Hunter Valley, NSW</t>
  </si>
  <si>
    <t>Illawarra 5MW BESS (illustrative)</t>
  </si>
  <si>
    <t>Wollongong, NSW</t>
  </si>
  <si>
    <t>Latrobe 5MW BESS (illustrative)</t>
  </si>
  <si>
    <t>Latrobe Valley, VIC</t>
  </si>
  <si>
    <t>Western Plains 5MW BESS (illustrative)</t>
  </si>
  <si>
    <t>Horsham, VIC</t>
  </si>
  <si>
    <t>Mid-North 5MW BESS (illustrative)</t>
  </si>
  <si>
    <t>Port Pirie, SA</t>
  </si>
  <si>
    <t>Exit value — PRIMARY basis (forward-pipeline rNPV + retained cash − debt)</t>
  </si>
  <si>
    <t>Pipeline depth at exit (projects in flight)</t>
  </si>
  <si>
    <t>Interim distribution fraction (of realised profit)</t>
  </si>
  <si>
    <t>Debt at exit</t>
  </si>
  <si>
    <t>Exit value CROSS-CHECK — earnings multiple on forward run-rate profit</t>
  </si>
  <si>
    <t>Cross-check multiple — low</t>
  </si>
  <si>
    <t>Cross-check multiple — base</t>
  </si>
  <si>
    <t>Cross-check multiple — high</t>
  </si>
  <si>
    <t>Input provenance flags (change5) — 1 = Independent (verified); 0 = Proposed/Placeholder</t>
  </si>
  <si>
    <t>RTB $/MW verified? (feeds independent rNPV)</t>
  </si>
  <si>
    <t>Dev cost verified? (feeds independent rNPV)</t>
  </si>
  <si>
    <t>Provenance tagged &amp; disclosed?</t>
  </si>
  <si>
    <t>RTB $/MW and dev cost are the manager's UNVERIFIED claims (Proposed) — verify against a primary source (comparable RTB sales; bottom-up costs) and set the flag to 1 before treating the rNPV as independent.</t>
  </si>
  <si>
    <t>Scenario driver values (by case) — single source; the Scenarios tab links here</t>
  </si>
  <si>
    <t>Driver</t>
  </si>
  <si>
    <t>Conservative</t>
  </si>
  <si>
    <t>Base</t>
  </si>
  <si>
    <t>Ideal</t>
  </si>
  <si>
    <t>Development-approval rate (DA gate — 40/65/80%)</t>
  </si>
  <si>
    <t>RTB price multiplier</t>
  </si>
  <si>
    <t>Dev cost multiplier</t>
  </si>
  <si>
    <t>First-Chicago weight (by case)</t>
  </si>
  <si>
    <t>TIMELINE — built once; every sheet links here</t>
  </si>
  <si>
    <t>Base year</t>
  </si>
  <si>
    <t>Period number</t>
  </si>
  <si>
    <t>Year</t>
  </si>
  <si>
    <t>Discount factor @ live discount</t>
  </si>
  <si>
    <t>SCENARIOS — one switch drives the live case (CHOOSE)</t>
  </si>
  <si>
    <t>Scenario switch  (1=Conservative 2=Base 3=Ideal)</t>
  </si>
  <si>
    <t>Live (active)</t>
  </si>
  <si>
    <t>Development-approval rate (DA gate — the 40/65/80%)</t>
  </si>
  <si>
    <t>Live discount rate (= base; scenarios don't move it)</t>
  </si>
  <si>
    <t>First-Chicago weights</t>
  </si>
  <si>
    <t>Sum</t>
  </si>
  <si>
    <t>Weight</t>
  </si>
  <si>
    <t>The 40/65/80% are the DEVELOPMENT-APPROVAL gate ONLY (the manager's deck). True flip success = development approval x grid connection x sale — far below 65% (see Calc_Survival). The switch moves ONLY the DA gate; connection and sale are fixed public benchmarks. Scenarios are the analyst's to OWN. The driver VALUES live on the Assumptions tab (the single source); this tab links to them and holds only the switch + live case.</t>
  </si>
  <si>
    <t>CALC — SURVIVAL GATES (each separate; flip success = their product)</t>
  </si>
  <si>
    <t>The manager's 40/65/80% are the DEVELOPMENT-APPROVAL gate ONLY. True develop-and-flip success = development approval x grid connection x sale — a multi-period survival / probability-of-default curve. The DA gate is LIVE from the scenario switch; grid connection and sale are fixed public benchmarks.</t>
  </si>
  <si>
    <t>Gate</t>
  </si>
  <si>
    <t>Probability</t>
  </si>
  <si>
    <t>Cumulative survival</t>
  </si>
  <si>
    <t>Development approval (live scenario DA gate)</t>
  </si>
  <si>
    <t>Reach sale (flip exit)</t>
  </si>
  <si>
    <t>LIVE flip success (DA x connection x sale)</t>
  </si>
  <si>
    <t>Public-benchmark development approval</t>
  </si>
  <si>
    <t>Independent flip success (benchmark DA x conn x sale)</t>
  </si>
  <si>
    <t>Manager's headline DA rate (Base — the '65%')</t>
  </si>
  <si>
    <t>True flip success at that DA (DA x conn x sale)</t>
  </si>
  <si>
    <t>The 65% headline is the approval gate alone; after grid connection (~70%) and sale (~80%) the true flip success is ~36%. The DA gate is the master return driver — the scenarios move it 40/65/80%. The sub-5MW AEMO registration exemption MAY lift small-distribution success — verify per state.</t>
  </si>
  <si>
    <t>Grid connection = RTB-stage connection RIGHTS: the connection AGREEMENT + Generator Performance Standards (GPS) that make a project ready-to-build (AEMO Scorecard 'registration / executed connection agreement' stage) — NOT energisation/commissioning of a built battery (a flip sells pre-construction). 70% is a benchmark [[TO CONFIRM]].</t>
  </si>
  <si>
    <t>Gates 2 &amp; 3 are INDEPENDENT (no double-count): gate 2 = did the project SECURE connection rights/GPS; gate 3 = given a genuinely RTB project, did a BUYER pay RTB price (demand/price risk, not connection again).</t>
  </si>
  <si>
    <t>CALC — PER-PROJECT RISK-ADJUSTED NAV (rNPV)</t>
  </si>
  <si>
    <t>Per project: RTB sale − DEVELOPMENT cost = margin → × cumulative success → discounted. Cost is DEV ONLY (the fund sells RTB; the buyer funds construction). All figures AUD $m unless stated.</t>
  </si>
  <si>
    <t>Years</t>
  </si>
  <si>
    <t>RTB $/MW</t>
  </si>
  <si>
    <t>Sale mult</t>
  </si>
  <si>
    <t>Sale $m</t>
  </si>
  <si>
    <t>Dev cost $m</t>
  </si>
  <si>
    <t>Margin $m</t>
  </si>
  <si>
    <t>Cum P</t>
  </si>
  <si>
    <t>Risk-adj $m</t>
  </si>
  <si>
    <t>Disc factor</t>
  </si>
  <si>
    <t>PV $m</t>
  </si>
  <si>
    <t>Sale@1x $m</t>
  </si>
  <si>
    <t>Pipeline total (representative)</t>
  </si>
  <si>
    <t>Blended RTB sale per project (@1x)</t>
  </si>
  <si>
    <t>CALC — THE COMPANY'S DEVELOPMENT PROGRAMME &amp; EXIT EQUITY VALUE (live scenario)</t>
  </si>
  <si>
    <t>A develop-and-flip company is a development PLATFORM, so a buyer pays for its FORWARD pipeline, not past profit. PRIMARY exit equity = forward-pipeline rNPV (projects still in flight at exit) + cash RETAINED on the balance sheet − debt. Realised programme profit feeds RETAINED cash (counted once, at face value — never at a multiple). The earnings multiple below is a CROSS-CHECK only. All figures AUD $m.</t>
  </si>
  <si>
    <t>Development funnel (live scenario)</t>
  </si>
  <si>
    <t>Live flip success (DA × conn × sale)</t>
  </si>
  <si>
    <t>Projects started (funnel)</t>
  </si>
  <si>
    <t>Projects failed (dropouts)</t>
  </si>
  <si>
    <t>Dev cost per project (live)</t>
  </si>
  <si>
    <t>Total development cost</t>
  </si>
  <si>
    <t>Proceeds &amp; realised programme profit</t>
  </si>
  <si>
    <t>Blended RTB sale per project (live)</t>
  </si>
  <si>
    <t>Gross proceeds</t>
  </si>
  <si>
    <t>Realised net programme profit (gross − total dev cost)</t>
  </si>
  <si>
    <t>Forward run-rate annual dev profit (= realised ÷ term)</t>
  </si>
  <si>
    <t>Company exit equity — PRIMARY (forward-pipeline rNPV + retained − debt)</t>
  </si>
  <si>
    <t>Avg years to sale (pipeline)</t>
  </si>
  <si>
    <t>Discount factor @ base over avg years</t>
  </si>
  <si>
    <t>Per-project rNPV (blended; live scenario)</t>
  </si>
  <si>
    <t>Forward pipeline rNPV at exit (= depth × per-project)</t>
  </si>
  <si>
    <t>Net cash retained at exit (= MAX(0,realised) × (1−dist frac))</t>
  </si>
  <si>
    <t>Company exit equity = forward + retained − debt</t>
  </si>
  <si>
    <t>Cross-check — earnings multiple on run-rate (NOT the primary number)</t>
  </si>
  <si>
    <t>Cross-check exit eq — low (run-rate × low mult + retained − debt)</t>
  </si>
  <si>
    <t>Cross-check exit eq — base</t>
  </si>
  <si>
    <t>Cross-check exit eq — high</t>
  </si>
  <si>
    <t>Primary (pipeline) vs cross-check (base mult): anchor on the more conservative pipeline basis; if they diverge materially, the multiple is more generous than the risk-adjusted forward pipeline.</t>
  </si>
  <si>
    <t>RETURNS — cap table &amp; return on OUR shares by scenario, First-Chicago, valuation range</t>
  </si>
  <si>
    <t>We buy SHARES directly. Ownership = our investment ÷ post-money, reduced by dilution. Each scenario's company exit equity value (PRIMARY basis: forward-pipeline rNPV + retained cash − debt) flows through the cap table; our TERMINAL proceeds = the GREATER of our 1× liquidation preference or our as-converted (diluted) share, plus any INTERIM distributions (convention (b); dist fraction is a placeholder, default 0). All figures AUD $m unless stated.</t>
  </si>
  <si>
    <t>Cap table (our stake)</t>
  </si>
  <si>
    <t>Post-money = pre-money + investment</t>
  </si>
  <si>
    <t>Ownership at entry = investment ÷ post-money</t>
  </si>
  <si>
    <t>Ownership at exit (diluted)</t>
  </si>
  <si>
    <t>Return on OUR shares by scenario</t>
  </si>
  <si>
    <t>Metric</t>
  </si>
  <si>
    <t>Flip success (DA × conn × sale)</t>
  </si>
  <si>
    <t>Dev cost per project</t>
  </si>
  <si>
    <t>Projects started</t>
  </si>
  <si>
    <t>Projects failed</t>
  </si>
  <si>
    <t>Total dev cost</t>
  </si>
  <si>
    <t>Realised net programme profit</t>
  </si>
  <si>
    <t>Forward pipeline rNPV at exit (depth × per-project)</t>
  </si>
  <si>
    <t>Net cash retained = MAX(0,realised)×(1−dist)</t>
  </si>
  <si>
    <t>Company exit equity = fwd + retained − debt</t>
  </si>
  <si>
    <t>As-converted (diluted × exit equity)</t>
  </si>
  <si>
    <t>Preference claim = MIN(liq×inv, exit eq)</t>
  </si>
  <si>
    <t>Terminal proceeds = MAX(pref, as-converted)</t>
  </si>
  <si>
    <t>Interim distributions (diluted×dist×realised)</t>
  </si>
  <si>
    <t>Our total proceeds = terminal + interim</t>
  </si>
  <si>
    <t>MOIC = our proceeds ÷ our investment</t>
  </si>
  <si>
    <t>Equity IRR = MOIC^(1/exit yr) − 1</t>
  </si>
  <si>
    <t>First-Chicago probability-weighted expected return</t>
  </si>
  <si>
    <t>Expected</t>
  </si>
  <si>
    <t>Our proceeds</t>
  </si>
  <si>
    <t>Expected MOIC = exp proceeds ÷ investment</t>
  </si>
  <si>
    <t>Expected equity IRR = exp MOIC^(1/exit yr) − 1</t>
  </si>
  <si>
    <t>Valuation range (per-pipeline asset value — cross-check)</t>
  </si>
  <si>
    <t>Representative 6-project pipeline (asset-level), NOT the company's whole exit equity value.</t>
  </si>
  <si>
    <t>rNPV pipeline (Base)</t>
  </si>
  <si>
    <t>$/MW benchmark (dev value)</t>
  </si>
  <si>
    <t>VC method (today value)</t>
  </si>
  <si>
    <t>Low</t>
  </si>
  <si>
    <t>Midpoint</t>
  </si>
  <si>
    <t>High</t>
  </si>
  <si>
    <t>Full cap table — who owns what (mechanical; ties to 100%)</t>
  </si>
  <si>
    <t>Holder</t>
  </si>
  <si>
    <t>At entry %</t>
  </si>
  <si>
    <t>At exit (diluted) %</t>
  </si>
  <si>
    <t>Founders / existing holders</t>
  </si>
  <si>
    <t>Us (new investor)</t>
  </si>
  <si>
    <t>Option pool (staff)</t>
  </si>
  <si>
    <t>Future-round investors</t>
  </si>
  <si>
    <t>Total (must = 100%)</t>
  </si>
  <si>
    <t>Exit waterfall (Base) — full distribution of exit equity</t>
  </si>
  <si>
    <t>Company exit equity (Base)</t>
  </si>
  <si>
    <t>Our terminal proceeds (1x pref / as-converted)</t>
  </si>
  <si>
    <t>Other holders' proceeds (residual)</t>
  </si>
  <si>
    <t>Distributed (ours + others = exit equity)</t>
  </si>
  <si>
    <t>CALC — CROSS-CHECKS: $/MW benchmark, VC method, RTB vs built</t>
  </si>
  <si>
    <t>Asset-value cross-checks on the representative pipeline, Base scenario. All figures AUD $m unless stated.</t>
  </si>
  <si>
    <t>$/MW benchmark (Base)</t>
  </si>
  <si>
    <t>Total pipeline MW</t>
  </si>
  <si>
    <t>Gross RTB asset value $m</t>
  </si>
  <si>
    <t>Total dev cost $m</t>
  </si>
  <si>
    <t>Average years to sale</t>
  </si>
  <si>
    <t>Flip success (Base, DA x conn x sale)</t>
  </si>
  <si>
    <t>$/MW implied dev value $m</t>
  </si>
  <si>
    <t>VC method (Base)</t>
  </si>
  <si>
    <t>Total RTB sale value $m</t>
  </si>
  <si>
    <t>Flip success (Base)</t>
  </si>
  <si>
    <t>Exit equity value (expected) $m</t>
  </si>
  <si>
    <t>VC target return</t>
  </si>
  <si>
    <t>Hold horizon (yrs)</t>
  </si>
  <si>
    <t>VC today value $m</t>
  </si>
  <si>
    <t>RTB as % of built-asset value (sense-check)</t>
  </si>
  <si>
    <t>Built $/MW</t>
  </si>
  <si>
    <t>RTB % of built</t>
  </si>
  <si>
    <t>Expect ~10–12% — confirms RTB is the early-stage development slice, not the built asset.</t>
  </si>
  <si>
    <t>SENSITIVITY — OUR equity IRR: development approval × RTB price (forward-pipeline exit basis)</t>
  </si>
  <si>
    <t>Return on OUR shares (equity IRR = MOIC^(1/exit year) − 1) vs DEVELOPMENT-APPROVAL rate (down) × RTB price multiplier (across); all else at Base. Exit equity now uses the PRIMARY forward-pipeline basis: forward rNPV (depth × per-project) + retained cash − debt; our proceeds = the GREATER of the 1× liquidation preference or our as-converted share. Helper columns H–J (per DA), the exit-equity grid L–P and the proceeds grid R–V keep every formula short. The exit assumption (pipeline depth × discount) is profiled separately in IC_MEMO Exhibit D. AUD $m / %.</t>
  </si>
  <si>
    <t>Conn × sale (flip adj)</t>
  </si>
  <si>
    <t>Diluted ownership</t>
  </si>
  <si>
    <t>Pipeline depth at exit</t>
  </si>
  <si>
    <t>Preference cap (liq × investment) $m</t>
  </si>
  <si>
    <t>Our investment $m</t>
  </si>
  <si>
    <t>Exit year</t>
  </si>
  <si>
    <t>Base blended sale/project $m</t>
  </si>
  <si>
    <t>Dev cost/project $m</t>
  </si>
  <si>
    <t>Disc factor @ base over avg years</t>
  </si>
  <si>
    <t>Retain fraction (1 − dist)</t>
  </si>
  <si>
    <t>Debt at exit $m</t>
  </si>
  <si>
    <t>Price mult →</t>
  </si>
  <si>
    <t>Gross $m →</t>
  </si>
  <si>
    <t>DA gate ↓</t>
  </si>
  <si>
    <t>IRR</t>
  </si>
  <si>
    <t>Flip succ</t>
  </si>
  <si>
    <t>Started</t>
  </si>
  <si>
    <t>Total dev</t>
  </si>
  <si>
    <t>Exit eq</t>
  </si>
  <si>
    <t>Proceeds</t>
  </si>
  <si>
    <t>CHECKS — integrity framework (master check feeds the Cover)</t>
  </si>
  <si>
    <t>Check</t>
  </si>
  <si>
    <t>Result</t>
  </si>
  <si>
    <t>Note</t>
  </si>
  <si>
    <t>Every gate probability ∈ [0,1]</t>
  </si>
  <si>
    <t>Gate probs bounded</t>
  </si>
  <si>
    <t>Flip success ≤ each gate</t>
  </si>
  <si>
    <t>Survival monotonic</t>
  </si>
  <si>
    <t>All MW positive</t>
  </si>
  <si>
    <t>Sign check</t>
  </si>
  <si>
    <t>All RTB sale values positive</t>
  </si>
  <si>
    <t>Dev cost positive</t>
  </si>
  <si>
    <t>Scenario switch ∈ {1,2,3}</t>
  </si>
  <si>
    <t>Switch valid</t>
  </si>
  <si>
    <t>Scenario DA-gate monotonic</t>
  </si>
  <si>
    <t>Cons ≤ Base ≤ Ideal</t>
  </si>
  <si>
    <t>Cap-table identity</t>
  </si>
  <si>
    <t>Ownership = investment ÷ post-money</t>
  </si>
  <si>
    <t>Diluted ownership ≤ entry ownership</t>
  </si>
  <si>
    <t>Dilution sign</t>
  </si>
  <si>
    <t>Investor MOIC monotonic</t>
  </si>
  <si>
    <t>Scenario weights sum to 100%</t>
  </si>
  <si>
    <t>First-Chicago IRR within scenario range</t>
  </si>
  <si>
    <t>Weighting sanity (helpers E:G)</t>
  </si>
  <si>
    <t>Our proceeds non-negative (all scenarios)</t>
  </si>
  <si>
    <t>No error cells in key outputs</t>
  </si>
  <si>
    <t>#REF!/#DIV0! scan</t>
  </si>
  <si>
    <t>Cap table ties (ownership sums to 100%)</t>
  </si>
  <si>
    <t>VC cap-table integrity</t>
  </si>
  <si>
    <t>Exit equity fully distributed (ours + others)</t>
  </si>
  <si>
    <t>VC waterfall integrity</t>
  </si>
  <si>
    <t>No double-count (exit value ≤ realised + forward pipeline)</t>
  </si>
  <si>
    <t>Retained-cash-only guard</t>
  </si>
  <si>
    <t>Provenance: unverified inputs flagged, not silently independent</t>
  </si>
  <si>
    <t>Contamination guard (see advisory below)</t>
  </si>
  <si>
    <t>PROVENANCE STATUS (advisory — not in master)</t>
  </si>
  <si>
    <t>The independent pipeline rNPV currently consumes the manager's UNVERIFIED RTB $/MW and dev-cost claims (tagged Proposed). The value is illustrative until each is verified against a primary source and re-tagged Independent (verified). Verifying them is more likely to LOWER the value than raise it — widening, not closing, the entry-price gap. Master check is unaffected (this is a disclosure).</t>
  </si>
  <si>
    <t>ILLUSTRATIVE BATTERY-DEVELOPER STARTUP — DIRECT-EQUITY DASHBOARD</t>
  </si>
  <si>
    <t>We buy SHARES directly in an illustrative ~5 MW distribution-BESS develop-and-flip startup (NSW/VIC/SA). ILLUSTRATIVE — founder/manager figures are claims and the equity-deal terms are placeholders to confirm. Not investment advice.</t>
  </si>
  <si>
    <t>Master check</t>
  </si>
  <si>
    <t>EXPECTED RETURN ON OUR SHARES (First-Chicago)</t>
  </si>
  <si>
    <t>OUR STAKE</t>
  </si>
  <si>
    <t>Expected equity IRR</t>
  </si>
  <si>
    <t>Post-money valuation $m</t>
  </si>
  <si>
    <t>Expected MOIC</t>
  </si>
  <si>
    <t>Ownership at entry</t>
  </si>
  <si>
    <t>RETURN ON OUR SHARES BY SCENARIO</t>
  </si>
  <si>
    <t>KEY ASSUMPTIONS &amp; FLAG</t>
  </si>
  <si>
    <t>Scenario</t>
  </si>
  <si>
    <t>Equity IRR</t>
  </si>
  <si>
    <t>Programme capital $m</t>
  </si>
  <si>
    <t>Projects target</t>
  </si>
  <si>
    <t>Manager headline DA gate (Base)</t>
  </si>
  <si>
    <t>True flip success (Base, DAxconnxsale)</t>
  </si>
  <si>
    <t>Independent flip success (benchmark)</t>
  </si>
  <si>
    <t>Conclusion (illustrative)</t>
  </si>
  <si>
    <t>A real, policy-backed, capital-light niche with a viable RTB exit — but the return on OUR shares is THIN once the gates are modelled and the cap table applied. The 65% headline is the development-approval gate ALONE; true flip success = approval x grid connection x sale is ~36% at Base, so the company's exit equity value is modest and — after dilution and our 1x liquidation preference — the expected return on our shares is only marginally positive while the Conservative case is a total loss. Biggest risks: EXIT/BUYER risk, then development/approval, then the equity-deal terms (all placeholders). Pursue only on verified buyer depth, RTB comps, a survivable downside, and confirmed cap-table terms.</t>
  </si>
  <si>
    <t>Sources (LIVE = fetched; BENCHMARK = documented public benchmark / the manager claim, verify)</t>
  </si>
  <si>
    <t>Input</t>
  </si>
  <si>
    <t>Built-cost context (CSIRO GenCost)</t>
  </si>
  <si>
    <t>Development-approval prob — public benchmark</t>
  </si>
  <si>
    <t>Grid connection prob (AEMO)</t>
  </si>
  <si>
    <t>Reach-sale prob (buyer pool / AEMO attrition)</t>
  </si>
  <si>
    <t>RTB $/MW by state (the manager claim)</t>
  </si>
  <si>
    <t>RTB comps: publicly reported deals only; paid DBs (BNEF, Enerdatics, Mergermarket) out of scope. the manager's prices are claims to verify.</t>
  </si>
  <si>
    <t>Glossary</t>
  </si>
  <si>
    <t>RTB</t>
  </si>
  <si>
    <t>Ready-to-build / development rights — a shovel-ready project sold before construction.</t>
  </si>
  <si>
    <t>rNPV</t>
  </si>
  <si>
    <t>Risk-adjusted NPV — each cash flow × probability of occurring, then discounted.</t>
  </si>
  <si>
    <t>Survival curve / PD</t>
  </si>
  <si>
    <t>Cumulative probability a project clears all gates; structurally a multi-period probability-of-default curve.</t>
  </si>
  <si>
    <t>Development funnel</t>
  </si>
  <si>
    <t>projects_started = target ÷ flip success; the company funds dev cost on every started project (full on delivered, partial on dropouts).</t>
  </si>
  <si>
    <t>The company's gross RTB proceeds minus its total development cost — profit EARNED by exit (feeds retained cash; counted once, at face value).</t>
  </si>
  <si>
    <t>Forward pipeline rNPV</t>
  </si>
  <si>
    <t>The risk-adjusted value of projects still IN FLIGHT at exit (depth × per-project rNPV) — the PRIMARY exit equity, what a buyer of a development platform pays for.</t>
  </si>
  <si>
    <t>Retained cash / run-rate</t>
  </si>
  <si>
    <t>Retained cash = realised profit not yet distributed (carried into the exit value). Run-rate = realised profit ÷ term — the yearly stream the earnings-multiple CROSS-CHECK is applied to.</t>
  </si>
  <si>
    <t>Exit equity (primary)</t>
  </si>
  <si>
    <t>Forward-pipeline rNPV + retained cash − debt at exit. The earnings multiple on run-rate profit is a CROSS-CHECK, not the headline.</t>
  </si>
  <si>
    <t>Pre-money / post-money</t>
  </si>
  <si>
    <t>Pre-money = the company's agreed value before our money goes in; post-money = pre-money + our investment.</t>
  </si>
  <si>
    <t>Ownership %</t>
  </si>
  <si>
    <t>Our share of the company = our investment ÷ post-money valuation.</t>
  </si>
  <si>
    <t>Dilution</t>
  </si>
  <si>
    <t>The fall in our ownership % when new shares are issued — here a staff option pool and future funding rounds.</t>
  </si>
  <si>
    <t>Cap table</t>
  </si>
  <si>
    <t>The schedule of who owns what % of the company; we run our stake through it to get our exit proceeds.</t>
  </si>
  <si>
    <t>Liquidation preference</t>
  </si>
  <si>
    <t>A preferred right to get our money back (1x) before ordinary holders at exit; 1x non-participating means we take the GREATER of that or our as-converted share.</t>
  </si>
  <si>
    <t>MOIC / equity IRR</t>
  </si>
  <si>
    <t>Multiple on OUR investment; annualised return on our shares (MOIC^(1/exit year) − 1; a total loss is −100%).</t>
  </si>
  <si>
    <t>First Chicago</t>
  </si>
  <si>
    <t>Probability-weight the scenarios' proceeds into a single expected return on our shares.</t>
  </si>
  <si>
    <t>Develop-and-flip</t>
  </si>
  <si>
    <t>Develop, de-risk, then sell RTB — the margin is the value uplift; merchant risk passes to the buyer.</t>
  </si>
  <si>
    <t>Raw_Inputs — Power Query feed from INPUTS_AND_ASSUMPTIONS.xlsx ('Inputs' sheet)</t>
  </si>
  <si>
    <t>GENERATED stub — do NOT hand-edit. Wire the live, refreshable Power Query below, then Data -&gt; Refresh. The source workbook sits in the SAME folder as this model (relative path).</t>
  </si>
  <si>
    <t>Step 1 — Formulas &gt; Define Name 'WorkbookPath'  = LEFT(CELL("filename",$A$1),FIND("[",CELL("filename",$A$1))-1)</t>
  </si>
  <si>
    <t>Step 2 — Data &gt; Get Data &gt; Blank Query &gt; Advanced Editor, paste:</t>
  </si>
  <si>
    <t>let
    Path = Excel.CurrentWorkbook(){[Name="WorkbookPath"]}[Content]{0}[Column1],
    Source = Excel.Workbook(File.Contents(Path &amp; "INPUTS_AND_ASSUMPTIONS.xlsx"), null, true),
    Data = Source{[Item="Inputs",Kind="Sheet"]}[Data]
in
    Data</t>
  </si>
  <si>
    <t>Static snapshot (replaced when the live query refreshes):</t>
  </si>
  <si>
    <t>Inputs — SOURCED data (from data/raw/). GENERATED — do not hand-edit.</t>
  </si>
  <si>
    <t>Item</t>
  </si>
  <si>
    <t>Source name</t>
  </si>
  <si>
    <t>source_key</t>
  </si>
  <si>
    <t>Raw file (data/raw/…)</t>
  </si>
  <si>
    <t>Page/Table or URL</t>
  </si>
  <si>
    <t>Provenance</t>
  </si>
  <si>
    <t>RBA — Capital Market Yields (F2)</t>
  </si>
  <si>
    <t>10-year CGS yield</t>
  </si>
  <si>
    <t>%</t>
  </si>
  <si>
    <t>RBA — Cash Rate Target &amp; Capital Market Yields</t>
  </si>
  <si>
    <t>rba</t>
  </si>
  <si>
    <t>data/raw/rba-cgs-10yr-2026-06.csv</t>
  </si>
  <si>
    <t>col 'Australian Government 10 year bond', row 17-Jun-2026</t>
  </si>
  <si>
    <t>2026-06-17</t>
  </si>
  <si>
    <t>Independent (verified)</t>
  </si>
  <si>
    <t>CSIRO — GenCost 2025-26</t>
  </si>
  <si>
    <t>2-hour battery build cost (cell)</t>
  </si>
  <si>
    <t>$/kWh</t>
  </si>
  <si>
    <t>CSIRO — GenCost (annual, with AEMO)</t>
  </si>
  <si>
    <t>csiro_gencost</t>
  </si>
  <si>
    <t>data/raw/csiro-gencost-2025-26.pdf</t>
  </si>
  <si>
    <t>current capital-cost tables, 2-hr battery [[TO CONFIRM: page]]</t>
  </si>
  <si>
    <t>2025-12</t>
  </si>
  <si>
    <t>AEMO — 2026 Integrated System Plan</t>
  </si>
  <si>
    <t>Small-scale storage power (2030)</t>
  </si>
  <si>
    <t>GW</t>
  </si>
  <si>
    <t>AEMO — Integrated System Plan 2026 (storage trajectory)</t>
  </si>
  <si>
    <t>aemo_isp</t>
  </si>
  <si>
    <t>data/raw/aemo-2026-isp.pdf</t>
  </si>
  <si>
    <t>Storage capacity, Step Change [[TO CONFIRM: page]]</t>
  </si>
  <si>
    <t>2026</t>
  </si>
  <si>
    <t>Small-scale storage energy (2030)</t>
  </si>
  <si>
    <t>GWh</t>
  </si>
  <si>
    <t>Grid-scale storage need (2050)</t>
  </si>
  <si>
    <t>Storage capacity, Step Change (35 + 5) [[TO CONFIRM: page]]</t>
  </si>
  <si>
    <t>Grid-scale storage in connections</t>
  </si>
  <si>
    <t>Connections / transition outlook (~45 of ~67 GW) [[TO CONFIRM: page]]</t>
  </si>
  <si>
    <t>AEMO — gate benchmarks (Connections / Generation Information)</t>
  </si>
  <si>
    <t>Grid-connection rate (RTB rights: agreement + GPS)</t>
  </si>
  <si>
    <t>AEMO — Connections Scorecard / Key Connection Information (KCI)</t>
  </si>
  <si>
    <t>aemo_connections</t>
  </si>
  <si>
    <t>data/raw/ (Scorecard not pinned)</t>
  </si>
  <si>
    <t>registration / executed connection agreement stage; NOT energisation</t>
  </si>
  <si>
    <t>2026-06</t>
  </si>
  <si>
    <t>[[TO CONFIRM]] benchmark</t>
  </si>
  <si>
    <t>Reach-sale rate (proposed-&gt;committed attrition)</t>
  </si>
  <si>
    <t>AEMO — NEM Generation Information</t>
  </si>
  <si>
    <t>aemo_generation_info</t>
  </si>
  <si>
    <t>data/raw/aemo_generation_information_&lt;date&gt;.xlsx</t>
  </si>
  <si>
    <t>proposed -&gt; committed status</t>
  </si>
  <si>
    <t>NSW Planning Portal — approval benchmark</t>
  </si>
  <si>
    <t>Development-approval rate (independent benchmark)</t>
  </si>
  <si>
    <t>NSW Planning Portal — Major Projects / Application Tracker</t>
  </si>
  <si>
    <t>nsw_planning</t>
  </si>
  <si>
    <t>data/raw/nsw_planning_&lt;date&gt;.json</t>
  </si>
  <si>
    <t>approved vs refused/withdrawn BESS major projects</t>
  </si>
  <si>
    <t>Trade press — RTB $/MW comps (manager claim to verify)</t>
  </si>
  <si>
    <t>RTB sale price — NSW</t>
  </si>
  <si>
    <t>Energy trade press — RTB / development-rights deal comps</t>
  </si>
  <si>
    <t>trade_press_comps</t>
  </si>
  <si>
    <t>data/raw/trade_press_candidates_20260624.csv</t>
  </si>
  <si>
    <t>trade-press deal comps (independent comps needed)</t>
  </si>
  <si>
    <t>Proposed (manager)</t>
  </si>
  <si>
    <t>RTB sale price — VIC</t>
  </si>
  <si>
    <t>RTB sale price — SA</t>
  </si>
  <si>
    <t>All-in built-asset value (context; above GenCost cell cost)</t>
  </si>
  <si>
    <t>all-in value ABOVE the ~$1.1m/MW cell cost — no primary</t>
  </si>
  <si>
    <t>Placeholder [[TO CONFIRM]]</t>
  </si>
  <si>
    <t>Raw_Assumptions — Power Query feed from INPUTS_AND_ASSUMPTIONS.xlsx ('Assumptions' sheet)</t>
  </si>
  <si>
    <t>let
    Path = Excel.CurrentWorkbook(){[Name="WorkbookPath"]}[Content]{0}[Column1],
    Source = Excel.Workbook(File.Contents(Path &amp; "INPUTS_AND_ASSUMPTIONS.xlsx"), null, true),
    Data = Source{[Item="Assumptions",Kind="Sheet"]}[Data]
in
    Data</t>
  </si>
  <si>
    <t>Assumptions — JUDGEMENT (from config/assumptions.yaml). GENERATED — do not hand-edit.</t>
  </si>
  <si>
    <t>How it's derived / rationale</t>
  </si>
  <si>
    <t>[[TO CONFIRM]]</t>
  </si>
  <si>
    <t>as_at</t>
  </si>
  <si>
    <t>Discount / required return</t>
  </si>
  <si>
    <t>discount_rate.risk_premium</t>
  </si>
  <si>
    <t>Analyst judgement — development-stage equity risk premium (illustrative); all-in base ~18%</t>
  </si>
  <si>
    <t>none / judgement</t>
  </si>
  <si>
    <t>returns.vc_target_return</t>
  </si>
  <si>
    <t>VC-method target return for development-stage equity (25%+); analyst judgement</t>
  </si>
  <si>
    <t>Company programme</t>
  </si>
  <si>
    <t>company.programme_capital_m</t>
  </si>
  <si>
    <t>Illustrative scale of the company's equity-funded development programme; verify</t>
  </si>
  <si>
    <t>company.projects_target</t>
  </si>
  <si>
    <t>Company plan — deliver &amp; sell ~35 ready-to-build projects; verify</t>
  </si>
  <si>
    <t>company.term_years</t>
  </si>
  <si>
    <t>Company plan — ~2+1 year develop-and-flip programme cycle; verify</t>
  </si>
  <si>
    <t>company.capital_call_profile</t>
  </si>
  <si>
    <t>0.5, 0.5, 0.0, 0.0</t>
  </si>
  <si>
    <t>Illustrative — development spend in yrs 0-1</t>
  </si>
  <si>
    <t>company.distribution_profile</t>
  </si>
  <si>
    <t>0.0, 0.0, 0.5, 0.5</t>
  </si>
  <si>
    <t>Illustrative — programme proceeds in yrs 2-3</t>
  </si>
  <si>
    <t>Equity deal terms</t>
  </si>
  <si>
    <t>equity_deal.pre_money_m</t>
  </si>
  <si>
    <t>[[TO CONFIRM]] PLACEHOLDER — the company's pre-money valuation (value before our money goes in)</t>
  </si>
  <si>
    <t>Y</t>
  </si>
  <si>
    <t>equity_deal.investment_amount_m</t>
  </si>
  <si>
    <t>[[TO CONFIRM]] PLACEHOLDER — our equity cheque</t>
  </si>
  <si>
    <t>equity_deal.option_pool_pct</t>
  </si>
  <si>
    <t>[[TO CONFIRM]] PLACEHOLDER — staff option pool created at our round (dilutes us)</t>
  </si>
  <si>
    <t>equity_deal.future_round_dilution_pct</t>
  </si>
  <si>
    <t>[[TO CONFIRM]] PLACEHOLDER — expected dilution from future capital raises before exit</t>
  </si>
  <si>
    <t>equity_deal.liquidation_preference_x</t>
  </si>
  <si>
    <t>PLACEHOLDER — 1x non-participating preferred (the greater of our money back or our as-converted share); confirm in the term sheet</t>
  </si>
  <si>
    <t>equity_deal.exit_year</t>
  </si>
  <si>
    <t>[[TO CONFIRM]] PLACEHOLDER — years to our exit (we sell our shares)</t>
  </si>
  <si>
    <t>Exit drivers</t>
  </si>
  <si>
    <t>exit_value.pipeline_depth_at_exit</t>
  </si>
  <si>
    <t>[[TO CONFIRM]] PLACEHOLDER — number of projects still IN FLIGHT (not yet sold) when we exit; the MAIN sensitivity of the pipeline basis (see Exhibit D). The company targets ~35 delivered over its programme.</t>
  </si>
  <si>
    <t>exit_value.interim_distribution_fraction</t>
  </si>
  <si>
    <t>[[TO CONFIRM]] PLACEHOLDER — fraction of realised net programme profit DISTRIBUTED to shareholders during the hold (convention (b), IC_MEMO §7). 0% (conservative) retains all realised profit and counts it ONCE, at face value, in the exit value — never at a multiple. Raise once the distribution policy is confirmed.</t>
  </si>
  <si>
    <t>exit_value.debt_at_exit_m</t>
  </si>
  <si>
    <t>[[TO CONFIRM]] PLACEHOLDER — company debt outstanding at exit; the company is equity-funded, so 0 by default.</t>
  </si>
  <si>
    <t>exit_value_crosscheck.earnings_multiple.low</t>
  </si>
  <si>
    <t>low EV/earnings multiple for a development platform</t>
  </si>
  <si>
    <t>exit_value_crosscheck.earnings_multiple.base</t>
  </si>
  <si>
    <t>base EV/earnings multiple for a development platform</t>
  </si>
  <si>
    <t>exit_value_crosscheck.earnings_multiple.high</t>
  </si>
  <si>
    <t>high EV/earnings multiple for a development platform</t>
  </si>
  <si>
    <t>Development cost &amp; attrition</t>
  </si>
  <si>
    <t>dev_cost.per_project_m</t>
  </si>
  <si>
    <t>dev_cost.abandonment_fraction</t>
  </si>
  <si>
    <t>Illustrative (conservative) — partial spend before a failed project is abandoned</t>
  </si>
  <si>
    <t>Gates / scenarios (manager DA claim)</t>
  </si>
  <si>
    <t>scenarios</t>
  </si>
  <si>
    <t>Pipeline</t>
  </si>
  <si>
    <t>pipeline</t>
  </si>
  <si>
    <t>Illustrative representative pipeline; sizes/locations synthetic (not a real portfolio).</t>
  </si>
  <si>
    <t>Value ladder</t>
  </si>
  <si>
    <t>value_ladder.years_to_r1</t>
  </si>
  <si>
    <t>[[TO CONFIRM]] years to RTB sale</t>
  </si>
  <si>
    <t>2026-06-29</t>
  </si>
  <si>
    <t>value_ladder.operating_ramp_years</t>
  </si>
  <si>
    <t>[[TO CONFIRM]] operating ramp before R3 sale</t>
  </si>
  <si>
    <t>value_ladder.stabilised_premium</t>
  </si>
  <si>
    <t>[[TO CONFIRM]] stabilised-asset premium</t>
  </si>
  <si>
    <t>value_ladder.equity_dilution_r2</t>
  </si>
  <si>
    <t>[[TO CONFIRM]] equity raised to build dilutes us</t>
  </si>
  <si>
    <t>value_ladder.equity_dilution_r3</t>
  </si>
  <si>
    <t>[[TO CONFIRM]] equity raised to operate dilutes us further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</si>
</sst>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\$#,##0.0;\(\$#,##0.0\);&quot;–&quot;"/>
    <numFmt numFmtId="166" formatCode="0.00&quot;x&quot;"/>
    <numFmt numFmtId="167" formatCode="\$#,##0.00;\(\$#,##0.00\);&quot;–&quot;"/>
    <numFmt numFmtId="168" formatCode="\$#,##0.000"/>
    <numFmt numFmtId="169" formatCode="#,##0.0"/>
    <numFmt numFmtId="170" formatCode="0.000"/>
  </numFmts>
  <fonts count="11" x14ac:knownFonts="1">
    <font>
      <sz val="11"/>
      <color theme="1"/>
      <name val="Calibri"/>
      <family val="2"/>
      <scheme val="minor"/>
    </font>
    <font>
      <b/>
      <sz val="14"/>
      <color rgb="FF1F3864"/>
      <name val="Arial"/>
      <family val="2"/>
    </font>
    <font>
      <i/>
      <sz val="9"/>
      <color rgb="FF595959"/>
      <name val="Arial"/>
      <family val="2"/>
    </font>
    <font>
      <b/>
      <sz val="10"/>
      <color rgb="FFFFFFFF"/>
      <name val="Arial"/>
      <family val="2"/>
    </font>
    <font>
      <b/>
      <sz val="10"/>
      <color rgb="FF1F3864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000000"/>
      <name val="Arial"/>
      <family val="2"/>
    </font>
    <font>
      <sz val="10"/>
      <color rgb="FF008000"/>
      <name val="Arial"/>
      <family val="2"/>
    </font>
    <font>
      <b/>
      <sz val="10"/>
      <color rgb="FF008000"/>
      <name val="Arial"/>
      <family val="2"/>
    </font>
    <font>
      <i/>
      <sz val="9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8" fillId="0" borderId="0" xfId="0" applyFont="1"/>
    <xf numFmtId="0" fontId="7" fillId="0" borderId="0" xfId="0" applyFont="1"/>
    <xf numFmtId="0" fontId="5" fillId="0" borderId="0" xfId="0" applyFont="1" applyAlignment="1">
      <alignment vertical="top" wrapText="1"/>
    </xf>
    <xf numFmtId="0" fontId="9" fillId="0" borderId="0" xfId="0" applyFont="1"/>
    <xf numFmtId="0" fontId="4" fillId="3" borderId="0" xfId="0" applyFont="1" applyFill="1"/>
    <xf numFmtId="0" fontId="10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2" fillId="0" borderId="0" xfId="0" applyFont="1"/>
    <xf numFmtId="0" fontId="6" fillId="4" borderId="0" xfId="0" applyFont="1" applyFill="1" applyAlignment="1">
      <alignment horizontal="center" vertical="top"/>
    </xf>
    <xf numFmtId="0" fontId="6" fillId="4" borderId="0" xfId="0" applyFont="1" applyFill="1"/>
    <xf numFmtId="0" fontId="6" fillId="4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5" fillId="0" borderId="0" xfId="0" applyFont="1"/>
    <xf numFmtId="164" fontId="6" fillId="4" borderId="1" xfId="0" applyNumberFormat="1" applyFont="1" applyFill="1" applyBorder="1"/>
    <xf numFmtId="0" fontId="2" fillId="0" borderId="0" xfId="0" applyFont="1" applyAlignment="1">
      <alignment horizontal="center" vertical="top"/>
    </xf>
    <xf numFmtId="164" fontId="7" fillId="0" borderId="1" xfId="0" applyNumberFormat="1" applyFont="1" applyBorder="1"/>
    <xf numFmtId="165" fontId="6" fillId="4" borderId="1" xfId="0" applyNumberFormat="1" applyFont="1" applyFill="1" applyBorder="1"/>
    <xf numFmtId="3" fontId="6" fillId="4" borderId="1" xfId="0" applyNumberFormat="1" applyFont="1" applyFill="1" applyBorder="1"/>
    <xf numFmtId="166" fontId="6" fillId="4" borderId="1" xfId="0" applyNumberFormat="1" applyFont="1" applyFill="1" applyBorder="1"/>
    <xf numFmtId="167" fontId="6" fillId="4" borderId="1" xfId="0" applyNumberFormat="1" applyFont="1" applyFill="1" applyBorder="1"/>
    <xf numFmtId="168" fontId="6" fillId="4" borderId="1" xfId="0" applyNumberFormat="1" applyFont="1" applyFill="1" applyBorder="1"/>
    <xf numFmtId="169" fontId="6" fillId="4" borderId="1" xfId="0" applyNumberFormat="1" applyFont="1" applyFill="1" applyBorder="1"/>
    <xf numFmtId="164" fontId="6" fillId="4" borderId="1" xfId="0" applyNumberFormat="1" applyFont="1" applyFill="1" applyBorder="1" applyAlignment="1">
      <alignment horizontal="center" vertical="top"/>
    </xf>
    <xf numFmtId="3" fontId="5" fillId="0" borderId="1" xfId="0" applyNumberFormat="1" applyFont="1" applyBorder="1"/>
    <xf numFmtId="2" fontId="6" fillId="4" borderId="1" xfId="0" applyNumberFormat="1" applyFont="1" applyFill="1" applyBorder="1"/>
    <xf numFmtId="2" fontId="6" fillId="4" borderId="1" xfId="0" applyNumberFormat="1" applyFont="1" applyFill="1" applyBorder="1" applyAlignment="1">
      <alignment horizontal="center" vertical="top"/>
    </xf>
    <xf numFmtId="3" fontId="5" fillId="0" borderId="0" xfId="0" applyNumberFormat="1" applyFont="1" applyAlignment="1">
      <alignment horizontal="center" vertical="top"/>
    </xf>
    <xf numFmtId="1" fontId="5" fillId="0" borderId="0" xfId="0" applyNumberFormat="1" applyFont="1" applyAlignment="1">
      <alignment horizontal="center" vertical="top"/>
    </xf>
    <xf numFmtId="170" fontId="5" fillId="0" borderId="0" xfId="0" applyNumberFormat="1" applyFont="1" applyAlignment="1">
      <alignment horizontal="center" vertical="top"/>
    </xf>
    <xf numFmtId="3" fontId="6" fillId="4" borderId="1" xfId="0" applyNumberFormat="1" applyFont="1" applyFill="1" applyBorder="1" applyAlignment="1">
      <alignment horizontal="center" vertical="top"/>
    </xf>
    <xf numFmtId="164" fontId="8" fillId="0" borderId="1" xfId="0" applyNumberFormat="1" applyFont="1" applyBorder="1" applyAlignment="1">
      <alignment horizontal="center" vertical="top"/>
    </xf>
    <xf numFmtId="2" fontId="8" fillId="0" borderId="1" xfId="0" applyNumberFormat="1" applyFont="1" applyBorder="1" applyAlignment="1">
      <alignment horizontal="center" vertical="top"/>
    </xf>
    <xf numFmtId="2" fontId="7" fillId="0" borderId="1" xfId="0" applyNumberFormat="1" applyFont="1" applyBorder="1"/>
    <xf numFmtId="164" fontId="9" fillId="0" borderId="1" xfId="0" applyNumberFormat="1" applyFont="1" applyBorder="1"/>
    <xf numFmtId="164" fontId="8" fillId="0" borderId="1" xfId="0" applyNumberFormat="1" applyFont="1" applyBorder="1"/>
    <xf numFmtId="164" fontId="5" fillId="0" borderId="1" xfId="0" applyNumberFormat="1" applyFont="1" applyBorder="1"/>
    <xf numFmtId="164" fontId="7" fillId="3" borderId="1" xfId="0" applyNumberFormat="1" applyFont="1" applyFill="1" applyBorder="1"/>
    <xf numFmtId="0" fontId="5" fillId="0" borderId="1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3" fontId="8" fillId="0" borderId="1" xfId="0" applyNumberFormat="1" applyFont="1" applyBorder="1"/>
    <xf numFmtId="169" fontId="8" fillId="0" borderId="1" xfId="0" applyNumberFormat="1" applyFont="1" applyBorder="1"/>
    <xf numFmtId="168" fontId="5" fillId="0" borderId="1" xfId="0" applyNumberFormat="1" applyFont="1" applyBorder="1"/>
    <xf numFmtId="2" fontId="8" fillId="0" borderId="1" xfId="0" applyNumberFormat="1" applyFont="1" applyBorder="1"/>
    <xf numFmtId="167" fontId="5" fillId="0" borderId="1" xfId="0" applyNumberFormat="1" applyFont="1" applyBorder="1"/>
    <xf numFmtId="170" fontId="5" fillId="0" borderId="1" xfId="0" applyNumberFormat="1" applyFont="1" applyBorder="1"/>
    <xf numFmtId="3" fontId="7" fillId="0" borderId="1" xfId="0" applyNumberFormat="1" applyFont="1" applyBorder="1"/>
    <xf numFmtId="167" fontId="7" fillId="0" borderId="1" xfId="0" applyNumberFormat="1" applyFont="1" applyBorder="1"/>
    <xf numFmtId="167" fontId="7" fillId="3" borderId="1" xfId="0" applyNumberFormat="1" applyFont="1" applyFill="1" applyBorder="1"/>
    <xf numFmtId="169" fontId="5" fillId="0" borderId="1" xfId="0" applyNumberFormat="1" applyFont="1" applyBorder="1"/>
    <xf numFmtId="165" fontId="5" fillId="0" borderId="1" xfId="0" applyNumberFormat="1" applyFont="1" applyBorder="1"/>
    <xf numFmtId="165" fontId="8" fillId="0" borderId="1" xfId="0" applyNumberFormat="1" applyFont="1" applyBorder="1"/>
    <xf numFmtId="165" fontId="7" fillId="3" borderId="1" xfId="0" applyNumberFormat="1" applyFont="1" applyFill="1" applyBorder="1"/>
    <xf numFmtId="165" fontId="7" fillId="0" borderId="1" xfId="0" applyNumberFormat="1" applyFont="1" applyBorder="1"/>
    <xf numFmtId="166" fontId="7" fillId="0" borderId="1" xfId="0" applyNumberFormat="1" applyFont="1" applyBorder="1"/>
    <xf numFmtId="167" fontId="8" fillId="0" borderId="1" xfId="0" applyNumberFormat="1" applyFont="1" applyBorder="1"/>
    <xf numFmtId="164" fontId="8" fillId="3" borderId="1" xfId="0" applyNumberFormat="1" applyFont="1" applyFill="1" applyBorder="1"/>
    <xf numFmtId="168" fontId="8" fillId="0" borderId="1" xfId="0" applyNumberFormat="1" applyFont="1" applyBorder="1"/>
    <xf numFmtId="170" fontId="8" fillId="0" borderId="1" xfId="0" applyNumberFormat="1" applyFont="1" applyBorder="1"/>
    <xf numFmtId="0" fontId="7" fillId="0" borderId="0" xfId="0" applyFont="1" applyAlignment="1">
      <alignment horizontal="right" vertical="top"/>
    </xf>
    <xf numFmtId="165" fontId="5" fillId="0" borderId="1" xfId="0" applyNumberFormat="1" applyFont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top"/>
    </xf>
    <xf numFmtId="164" fontId="5" fillId="0" borderId="1" xfId="0" applyNumberFormat="1" applyFont="1" applyBorder="1" applyAlignment="1">
      <alignment horizontal="center" vertical="top"/>
    </xf>
    <xf numFmtId="0" fontId="7" fillId="0" borderId="1" xfId="0" applyFont="1" applyBorder="1" applyAlignment="1">
      <alignment horizontal="center" vertical="top"/>
    </xf>
    <xf numFmtId="0" fontId="10" fillId="0" borderId="0" xfId="0" applyFont="1"/>
    <xf numFmtId="0" fontId="5" fillId="0" borderId="1" xfId="0" applyFont="1" applyBorder="1"/>
    <xf numFmtId="0" fontId="9" fillId="0" borderId="0" xfId="0" applyFont="1" applyAlignment="1">
      <alignment horizontal="center" vertical="top"/>
    </xf>
    <xf numFmtId="166" fontId="8" fillId="0" borderId="1" xfId="0" applyNumberFormat="1" applyFont="1" applyBorder="1"/>
    <xf numFmtId="0" fontId="5" fillId="2" borderId="1" xfId="0" applyFont="1" applyFill="1" applyBorder="1" applyAlignment="1">
      <alignment horizontal="center" vertical="top" wrapText="1"/>
    </xf>
    <xf numFmtId="166" fontId="5" fillId="0" borderId="1" xfId="0" applyNumberFormat="1" applyFont="1" applyBorder="1"/>
    <xf numFmtId="0" fontId="5" fillId="0" borderId="0" xfId="0" applyFont="1" applyAlignment="1">
      <alignment vertical="top" wrapText="1"/>
    </xf>
    <xf numFmtId="0" fontId="0" fillId="0" borderId="0" xfId="0"/>
    <xf numFmtId="0" fontId="10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 applyNumberFormat="1"/>
  </cellXfs>
  <cellStyles count="1">
    <cellStyle name="常规" xfId="0" builtinId="0"/>
  </cellStyles>
  <dxfs count="1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074E832-1438-4161-BDF3-7AFDFE9B15AF}" autoFormatId="16" applyNumberFormats="0" applyBorderFormats="0" applyFontFormats="0" applyPatternFormats="0" applyAlignmentFormats="0" applyWidthHeightFormats="0">
  <queryTableRefresh nextId="10">
    <queryTableFields count="9">
      <queryTableField id="1" name="Item" tableColumnId="1"/>
      <queryTableField id="2" name="Value" tableColumnId="2"/>
      <queryTableField id="3" name="Unit" tableColumnId="3"/>
      <queryTableField id="4" name="Source name" tableColumnId="4"/>
      <queryTableField id="5" name="source_key" tableColumnId="5"/>
      <queryTableField id="6" name="Raw file (data/raw/…)" tableColumnId="6"/>
      <queryTableField id="7" name="Page/Table or URL" tableColumnId="7"/>
      <queryTableField id="8" name="Date" tableColumnId="8"/>
      <queryTableField id="9" name="Provenance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DC95AAA-48AA-4A9C-A548-FACAD2942B81}" autoFormatId="16" applyNumberFormats="0" applyBorderFormats="0" applyFontFormats="0" applyPatternFormats="0" applyAlignmentFormats="0" applyWidthHeightFormats="0">
  <queryTableRefresh nextId="8">
    <queryTableFields count="7">
      <queryTableField id="1" name="Item" tableColumnId="1"/>
      <queryTableField id="2" name="Value" tableColumnId="2"/>
      <queryTableField id="3" name="Unit" tableColumnId="3"/>
      <queryTableField id="4" name="How it's derived / rationale" tableColumnId="4"/>
      <queryTableField id="5" name="source_key" tableColumnId="5"/>
      <queryTableField id="6" name="[[TO CONFIRM]]" tableColumnId="6"/>
      <queryTableField id="7" name="as_at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B3D942-A679-4532-A186-4231F4430692}" name="Inputs" displayName="Inputs" ref="A1:I20" tableType="queryTable" totalsRowShown="0">
  <autoFilter ref="A1:I20" xr:uid="{DDB3D942-A679-4532-A186-4231F4430692}"/>
  <tableColumns count="9">
    <tableColumn id="1" xr3:uid="{D112155B-5DFD-433E-9F9B-96BEEB682764}" uniqueName="1" name="Item" queryTableFieldId="1" dataDxfId="13"/>
    <tableColumn id="2" xr3:uid="{71B6ECAF-E0F0-4228-8E10-FE42E647FBD2}" uniqueName="2" name="Value" queryTableFieldId="2"/>
    <tableColumn id="3" xr3:uid="{203B2498-5ACC-4762-AFFA-A4C835A34617}" uniqueName="3" name="Unit" queryTableFieldId="3" dataDxfId="12"/>
    <tableColumn id="4" xr3:uid="{ADDC2597-4E93-419F-91EC-E234B2F895FF}" uniqueName="4" name="Source name" queryTableFieldId="4" dataDxfId="11"/>
    <tableColumn id="5" xr3:uid="{EA1F61C0-1095-4AEF-ABCF-4374CADFB3C9}" uniqueName="5" name="source_key" queryTableFieldId="5" dataDxfId="10"/>
    <tableColumn id="6" xr3:uid="{AEB2E759-74DA-4818-8E2E-B89E278B59A8}" uniqueName="6" name="Raw file (data/raw/…)" queryTableFieldId="6" dataDxfId="9"/>
    <tableColumn id="7" xr3:uid="{ACBA95FD-C8F3-45A6-994D-C8A66114BA94}" uniqueName="7" name="Page/Table or URL" queryTableFieldId="7" dataDxfId="8"/>
    <tableColumn id="8" xr3:uid="{F97057BD-6F51-486E-9701-02ADDC2C663B}" uniqueName="8" name="Date" queryTableFieldId="8" dataDxfId="7"/>
    <tableColumn id="9" xr3:uid="{D0E5091D-4B0D-432C-BF32-E24F9E15229C}" uniqueName="9" name="Provenance" queryTableFieldId="9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E953647-1F53-4A5D-831E-AADCA21DF313}" name="Assumptions" displayName="Assumptions" ref="A1:G37" tableType="queryTable" totalsRowShown="0">
  <autoFilter ref="A1:G37" xr:uid="{CE953647-1F53-4A5D-831E-AADCA21DF313}"/>
  <tableColumns count="7">
    <tableColumn id="1" xr3:uid="{65DB1527-F505-4617-94EE-D5B846BE2E8B}" uniqueName="1" name="Item" queryTableFieldId="1" dataDxfId="5"/>
    <tableColumn id="2" xr3:uid="{78C98ACF-515F-410F-B511-B41DDAA445AF}" uniqueName="2" name="Value" queryTableFieldId="2"/>
    <tableColumn id="3" xr3:uid="{DB3415C1-0ED4-414F-A873-61482D58F19B}" uniqueName="3" name="Unit" queryTableFieldId="3" dataDxfId="4"/>
    <tableColumn id="4" xr3:uid="{9DF86840-41C3-4FF6-A4C7-83A0AAB99DC0}" uniqueName="4" name="How it's derived / rationale" queryTableFieldId="4" dataDxfId="3"/>
    <tableColumn id="5" xr3:uid="{A980F568-6135-4794-A9E8-46B41AA97B53}" uniqueName="5" name="source_key" queryTableFieldId="5" dataDxfId="2"/>
    <tableColumn id="6" xr3:uid="{BFED9612-932C-4754-84A8-B1E22657B384}" uniqueName="6" name="[[TO CONFIRM]]" queryTableFieldId="6" dataDxfId="1"/>
    <tableColumn id="7" xr3:uid="{203CA944-E80A-4916-B61E-264145A7C532}" uniqueName="7" name="as_at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</sheetPr>
  <dimension ref="A1:J39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26" customWidth="1"/>
    <col min="2" max="2" width="64" customWidth="1"/>
  </cols>
  <sheetData>
    <row r="1" spans="1:10" ht="18" x14ac:dyDescent="0.25">
      <c r="A1" s="1" t="s">
        <v>0</v>
      </c>
      <c r="J1" s="2" t="s">
        <v>1</v>
      </c>
    </row>
    <row r="2" spans="1:10" ht="25.5" x14ac:dyDescent="0.25">
      <c r="A2" s="3" t="s">
        <v>2</v>
      </c>
      <c r="B2" s="4" t="s">
        <v>3</v>
      </c>
    </row>
    <row r="3" spans="1:10" x14ac:dyDescent="0.25">
      <c r="A3" s="3" t="s">
        <v>4</v>
      </c>
      <c r="B3" s="4" t="s">
        <v>5</v>
      </c>
    </row>
    <row r="4" spans="1:10" x14ac:dyDescent="0.25">
      <c r="A4" s="3" t="s">
        <v>6</v>
      </c>
      <c r="B4" s="4" t="s">
        <v>7</v>
      </c>
    </row>
    <row r="5" spans="1:10" x14ac:dyDescent="0.25">
      <c r="A5" s="3" t="s">
        <v>8</v>
      </c>
      <c r="B5" s="4" t="s">
        <v>9</v>
      </c>
    </row>
    <row r="6" spans="1:10" x14ac:dyDescent="0.25">
      <c r="A6" s="3" t="s">
        <v>10</v>
      </c>
      <c r="B6" s="4" t="s">
        <v>11</v>
      </c>
    </row>
    <row r="7" spans="1:10" x14ac:dyDescent="0.25">
      <c r="A7" s="3" t="s">
        <v>12</v>
      </c>
      <c r="B7" s="5" t="str">
        <f>Scenarios!$B$3</f>
        <v>Base</v>
      </c>
    </row>
    <row r="8" spans="1:10" x14ac:dyDescent="0.25">
      <c r="A8" s="3" t="s">
        <v>13</v>
      </c>
      <c r="B8" s="5" t="str">
        <f>Checks!$B$24</f>
        <v>OK</v>
      </c>
    </row>
    <row r="10" spans="1:10" x14ac:dyDescent="0.25">
      <c r="A10" s="6" t="s">
        <v>14</v>
      </c>
    </row>
    <row r="11" spans="1:10" ht="38.25" x14ac:dyDescent="0.25">
      <c r="A11" s="3" t="s">
        <v>15</v>
      </c>
      <c r="B11" s="4" t="s">
        <v>16</v>
      </c>
    </row>
    <row r="12" spans="1:10" ht="51" x14ac:dyDescent="0.25">
      <c r="A12" s="3" t="s">
        <v>17</v>
      </c>
      <c r="B12" s="4" t="s">
        <v>18</v>
      </c>
    </row>
    <row r="13" spans="1:10" ht="63.75" x14ac:dyDescent="0.25">
      <c r="A13" s="3" t="s">
        <v>19</v>
      </c>
      <c r="B13" s="4" t="s">
        <v>20</v>
      </c>
    </row>
    <row r="14" spans="1:10" ht="51" x14ac:dyDescent="0.25">
      <c r="A14" s="3" t="s">
        <v>21</v>
      </c>
      <c r="B14" s="4" t="s">
        <v>22</v>
      </c>
    </row>
    <row r="15" spans="1:10" ht="38.25" x14ac:dyDescent="0.25">
      <c r="A15" s="3" t="s">
        <v>23</v>
      </c>
      <c r="B15" s="4" t="s">
        <v>24</v>
      </c>
    </row>
    <row r="16" spans="1:10" ht="25.5" x14ac:dyDescent="0.25">
      <c r="A16" s="3" t="s">
        <v>25</v>
      </c>
      <c r="B16" s="4" t="s">
        <v>26</v>
      </c>
    </row>
    <row r="17" spans="1:2" ht="25.5" x14ac:dyDescent="0.25">
      <c r="A17" s="3" t="s">
        <v>27</v>
      </c>
      <c r="B17" s="4" t="s">
        <v>28</v>
      </c>
    </row>
    <row r="18" spans="1:2" x14ac:dyDescent="0.25">
      <c r="A18" s="6" t="s">
        <v>29</v>
      </c>
    </row>
    <row r="19" spans="1:2" x14ac:dyDescent="0.25">
      <c r="B19" s="72" t="s">
        <v>30</v>
      </c>
    </row>
    <row r="20" spans="1:2" x14ac:dyDescent="0.25">
      <c r="B20" s="73"/>
    </row>
    <row r="21" spans="1:2" x14ac:dyDescent="0.25">
      <c r="B21" s="73"/>
    </row>
    <row r="22" spans="1:2" x14ac:dyDescent="0.25">
      <c r="B22" s="73"/>
    </row>
    <row r="24" spans="1:2" x14ac:dyDescent="0.25">
      <c r="A24" s="6" t="s">
        <v>31</v>
      </c>
    </row>
    <row r="25" spans="1:2" x14ac:dyDescent="0.25">
      <c r="B25" s="72" t="s">
        <v>32</v>
      </c>
    </row>
    <row r="26" spans="1:2" x14ac:dyDescent="0.25">
      <c r="B26" s="73"/>
    </row>
    <row r="27" spans="1:2" x14ac:dyDescent="0.25">
      <c r="B27" s="73"/>
    </row>
    <row r="28" spans="1:2" x14ac:dyDescent="0.25">
      <c r="B28" s="73"/>
    </row>
    <row r="30" spans="1:2" x14ac:dyDescent="0.25">
      <c r="A30" s="6" t="s">
        <v>33</v>
      </c>
    </row>
    <row r="31" spans="1:2" x14ac:dyDescent="0.25">
      <c r="B31" s="72" t="s">
        <v>34</v>
      </c>
    </row>
    <row r="32" spans="1:2" x14ac:dyDescent="0.25">
      <c r="B32" s="73"/>
    </row>
    <row r="33" spans="1:2" x14ac:dyDescent="0.25">
      <c r="B33" s="73"/>
    </row>
    <row r="34" spans="1:2" x14ac:dyDescent="0.25">
      <c r="B34" s="73"/>
    </row>
    <row r="35" spans="1:2" x14ac:dyDescent="0.25">
      <c r="B35" s="73"/>
    </row>
    <row r="36" spans="1:2" x14ac:dyDescent="0.25">
      <c r="A36" s="3" t="s">
        <v>35</v>
      </c>
      <c r="B36" s="74" t="s">
        <v>36</v>
      </c>
    </row>
    <row r="37" spans="1:2" x14ac:dyDescent="0.25">
      <c r="B37" s="73"/>
    </row>
    <row r="38" spans="1:2" x14ac:dyDescent="0.25">
      <c r="B38" s="73"/>
    </row>
    <row r="39" spans="1:2" x14ac:dyDescent="0.25">
      <c r="B39" s="73"/>
    </row>
  </sheetData>
  <mergeCells count="4">
    <mergeCell ref="B31:B35"/>
    <mergeCell ref="B19:B22"/>
    <mergeCell ref="B36:B39"/>
    <mergeCell ref="B25:B28"/>
  </mergeCells>
  <conditionalFormatting sqref="B8">
    <cfRule type="cellIs" dxfId="17" priority="1" operator="equal">
      <formula>"OK"</formula>
    </cfRule>
    <cfRule type="cellIs" dxfId="16" priority="2" operator="equal">
      <formula>"ERROR"</formula>
    </cfRule>
  </conditionalFormatting>
  <hyperlinks>
    <hyperlink ref="J1" location="'Contents'!A1" display="↩ Contents" xr:uid="{00000000-0004-0000-0000-000000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08080"/>
  </sheetPr>
  <dimension ref="A1:C20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6" customWidth="1"/>
    <col min="2" max="2" width="28" customWidth="1"/>
    <col min="3" max="3" width="60" customWidth="1"/>
  </cols>
  <sheetData>
    <row r="1" spans="1:3" ht="18" x14ac:dyDescent="0.25">
      <c r="A1" s="1" t="s">
        <v>37</v>
      </c>
    </row>
    <row r="3" spans="1:3" x14ac:dyDescent="0.25">
      <c r="A3" s="8" t="s">
        <v>38</v>
      </c>
      <c r="B3" s="8" t="s">
        <v>39</v>
      </c>
      <c r="C3" s="8" t="s">
        <v>40</v>
      </c>
    </row>
    <row r="4" spans="1:3" x14ac:dyDescent="0.25">
      <c r="A4" s="9">
        <v>1</v>
      </c>
      <c r="B4" s="2" t="s">
        <v>41</v>
      </c>
      <c r="C4" s="10" t="s">
        <v>42</v>
      </c>
    </row>
    <row r="5" spans="1:3" x14ac:dyDescent="0.25">
      <c r="A5" s="9">
        <v>2</v>
      </c>
      <c r="B5" s="2" t="s">
        <v>37</v>
      </c>
      <c r="C5" s="10" t="s">
        <v>43</v>
      </c>
    </row>
    <row r="6" spans="1:3" x14ac:dyDescent="0.25">
      <c r="A6" s="9">
        <v>3</v>
      </c>
      <c r="B6" s="2" t="s">
        <v>44</v>
      </c>
      <c r="C6" s="10" t="s">
        <v>45</v>
      </c>
    </row>
    <row r="7" spans="1:3" x14ac:dyDescent="0.25">
      <c r="A7" s="9">
        <v>4</v>
      </c>
      <c r="B7" s="2" t="s">
        <v>46</v>
      </c>
      <c r="C7" s="10" t="s">
        <v>47</v>
      </c>
    </row>
    <row r="8" spans="1:3" x14ac:dyDescent="0.25">
      <c r="A8" s="9">
        <v>5</v>
      </c>
      <c r="B8" s="2" t="s">
        <v>48</v>
      </c>
      <c r="C8" s="10" t="s">
        <v>49</v>
      </c>
    </row>
    <row r="9" spans="1:3" x14ac:dyDescent="0.25">
      <c r="A9" s="9">
        <v>6</v>
      </c>
      <c r="B9" s="2" t="s">
        <v>50</v>
      </c>
      <c r="C9" s="10" t="s">
        <v>51</v>
      </c>
    </row>
    <row r="10" spans="1:3" x14ac:dyDescent="0.25">
      <c r="A10" s="9">
        <v>7</v>
      </c>
      <c r="B10" s="2" t="s">
        <v>52</v>
      </c>
      <c r="C10" s="10" t="s">
        <v>53</v>
      </c>
    </row>
    <row r="11" spans="1:3" x14ac:dyDescent="0.25">
      <c r="A11" s="9">
        <v>8</v>
      </c>
      <c r="B11" s="2" t="s">
        <v>54</v>
      </c>
      <c r="C11" s="10" t="s">
        <v>55</v>
      </c>
    </row>
    <row r="12" spans="1:3" x14ac:dyDescent="0.25">
      <c r="A12" s="9">
        <v>9</v>
      </c>
      <c r="B12" s="2" t="s">
        <v>56</v>
      </c>
      <c r="C12" s="10" t="s">
        <v>57</v>
      </c>
    </row>
    <row r="13" spans="1:3" x14ac:dyDescent="0.25">
      <c r="A13" s="9">
        <v>10</v>
      </c>
      <c r="B13" s="2" t="s">
        <v>58</v>
      </c>
      <c r="C13" s="10" t="s">
        <v>59</v>
      </c>
    </row>
    <row r="14" spans="1:3" x14ac:dyDescent="0.25">
      <c r="A14" s="9">
        <v>11</v>
      </c>
      <c r="B14" s="2" t="s">
        <v>60</v>
      </c>
      <c r="C14" s="10" t="s">
        <v>61</v>
      </c>
    </row>
    <row r="15" spans="1:3" x14ac:dyDescent="0.25">
      <c r="A15" s="9">
        <v>12</v>
      </c>
      <c r="B15" s="2" t="s">
        <v>62</v>
      </c>
      <c r="C15" s="10" t="s">
        <v>63</v>
      </c>
    </row>
    <row r="16" spans="1:3" x14ac:dyDescent="0.25">
      <c r="A16" s="9">
        <v>13</v>
      </c>
      <c r="B16" s="2" t="s">
        <v>64</v>
      </c>
      <c r="C16" s="10" t="s">
        <v>65</v>
      </c>
    </row>
    <row r="17" spans="1:3" x14ac:dyDescent="0.25">
      <c r="A17" s="9">
        <v>14</v>
      </c>
      <c r="B17" s="2" t="s">
        <v>66</v>
      </c>
      <c r="C17" s="10" t="s">
        <v>67</v>
      </c>
    </row>
    <row r="18" spans="1:3" x14ac:dyDescent="0.25">
      <c r="A18" s="9">
        <v>15</v>
      </c>
      <c r="B18" s="2" t="s">
        <v>68</v>
      </c>
      <c r="C18" s="10" t="s">
        <v>69</v>
      </c>
    </row>
    <row r="19" spans="1:3" x14ac:dyDescent="0.25">
      <c r="A19" s="9">
        <v>16</v>
      </c>
      <c r="B19" s="2" t="s">
        <v>70</v>
      </c>
      <c r="C19" s="10"/>
    </row>
    <row r="20" spans="1:3" x14ac:dyDescent="0.25">
      <c r="A20" s="9">
        <v>17</v>
      </c>
      <c r="B20" s="2" t="s">
        <v>71</v>
      </c>
      <c r="C20" s="10"/>
    </row>
  </sheetData>
  <hyperlinks>
    <hyperlink ref="B4" location="'Cover'!A1" display="Cover" xr:uid="{00000000-0004-0000-0100-000000000000}"/>
    <hyperlink ref="B5" location="'Contents'!A1" display="Contents" xr:uid="{00000000-0004-0000-0100-000001000000}"/>
    <hyperlink ref="B6" location="'Change Log'!A1" display="Change Log" xr:uid="{00000000-0004-0000-0100-000002000000}"/>
    <hyperlink ref="B7" location="'Assumptions'!A1" display="Assumptions" xr:uid="{00000000-0004-0000-0100-000003000000}"/>
    <hyperlink ref="B8" location="'Timeline'!A1" display="Timeline" xr:uid="{00000000-0004-0000-0100-000004000000}"/>
    <hyperlink ref="B9" location="'Scenarios'!A1" display="Scenarios" xr:uid="{00000000-0004-0000-0100-000005000000}"/>
    <hyperlink ref="B10" location="'Calc_Survival'!A1" display="Calc_Survival" xr:uid="{00000000-0004-0000-0100-000006000000}"/>
    <hyperlink ref="B11" location="'Calc_Project_rNPV'!A1" display="Calc_Project_rNPV" xr:uid="{00000000-0004-0000-0100-000007000000}"/>
    <hyperlink ref="B12" location="'Calc_Company'!A1" display="Calc_Company" xr:uid="{00000000-0004-0000-0100-000008000000}"/>
    <hyperlink ref="B13" location="'Returns'!A1" display="Returns" xr:uid="{00000000-0004-0000-0100-000009000000}"/>
    <hyperlink ref="B14" location="'Calc_CrossChecks'!A1" display="Calc_CrossChecks" xr:uid="{00000000-0004-0000-0100-00000A000000}"/>
    <hyperlink ref="B15" location="'Sensitivity'!A1" display="Sensitivity" xr:uid="{00000000-0004-0000-0100-00000B000000}"/>
    <hyperlink ref="B16" location="'Checks'!A1" display="Checks" xr:uid="{00000000-0004-0000-0100-00000C000000}"/>
    <hyperlink ref="B17" location="'Dashboard'!A1" display="Dashboard" xr:uid="{00000000-0004-0000-0100-00000D000000}"/>
    <hyperlink ref="B18" location="'Sources &amp; Glossary'!A1" display="Sources &amp; Glossary" xr:uid="{00000000-0004-0000-0100-00000E000000}"/>
    <hyperlink ref="B19" location="'Raw_Inputs'!A1" display="Raw_Inputs" xr:uid="{00000000-0004-0000-0100-00000F000000}"/>
    <hyperlink ref="B20" location="'Raw_Assumptions'!A1" display="Raw_Assumptions" xr:uid="{00000000-0004-0000-0100-000010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08080"/>
  </sheetPr>
  <dimension ref="A1:J8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4" customWidth="1"/>
    <col min="2" max="2" width="10" customWidth="1"/>
    <col min="3" max="3" width="62" customWidth="1"/>
    <col min="4" max="4" width="20" customWidth="1"/>
  </cols>
  <sheetData>
    <row r="1" spans="1:10" ht="18" x14ac:dyDescent="0.25">
      <c r="A1" s="1" t="s">
        <v>44</v>
      </c>
      <c r="J1" s="2" t="s">
        <v>1</v>
      </c>
    </row>
    <row r="3" spans="1:10" x14ac:dyDescent="0.25">
      <c r="A3" s="8" t="s">
        <v>8</v>
      </c>
      <c r="B3" s="8" t="s">
        <v>4</v>
      </c>
      <c r="C3" s="8" t="s">
        <v>72</v>
      </c>
      <c r="D3" s="8" t="s">
        <v>6</v>
      </c>
    </row>
    <row r="4" spans="1:10" ht="25.5" x14ac:dyDescent="0.25">
      <c r="A4" s="11" t="s">
        <v>9</v>
      </c>
      <c r="B4" s="11" t="s">
        <v>73</v>
      </c>
      <c r="C4" s="4" t="s">
        <v>74</v>
      </c>
      <c r="D4" s="12" t="s">
        <v>75</v>
      </c>
    </row>
    <row r="5" spans="1:10" ht="76.5" x14ac:dyDescent="0.25">
      <c r="A5" s="11" t="s">
        <v>9</v>
      </c>
      <c r="B5" s="11" t="s">
        <v>76</v>
      </c>
      <c r="C5" s="4" t="s">
        <v>77</v>
      </c>
      <c r="D5" s="12" t="s">
        <v>78</v>
      </c>
    </row>
    <row r="6" spans="1:10" ht="102" x14ac:dyDescent="0.25">
      <c r="A6" s="11" t="s">
        <v>9</v>
      </c>
      <c r="B6" s="11" t="s">
        <v>5</v>
      </c>
      <c r="C6" s="4" t="s">
        <v>79</v>
      </c>
      <c r="D6" s="12" t="s">
        <v>80</v>
      </c>
    </row>
    <row r="7" spans="1:10" ht="89.25" x14ac:dyDescent="0.25">
      <c r="A7" s="11" t="s">
        <v>9</v>
      </c>
      <c r="B7" s="11" t="s">
        <v>81</v>
      </c>
      <c r="C7" s="4" t="s">
        <v>82</v>
      </c>
      <c r="D7" s="12" t="s">
        <v>83</v>
      </c>
    </row>
    <row r="8" spans="1:10" x14ac:dyDescent="0.25">
      <c r="C8" s="13" t="s">
        <v>84</v>
      </c>
    </row>
  </sheetData>
  <hyperlinks>
    <hyperlink ref="J1" location="'Contents'!A1" display="↩ Contents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J67"/>
  <sheetViews>
    <sheetView showGridLines="0" workbookViewId="0">
      <pane ySplit="3" topLeftCell="A22" activePane="bottomLeft" state="frozen"/>
      <selection pane="bottomLeft"/>
    </sheetView>
  </sheetViews>
  <sheetFormatPr defaultRowHeight="15" x14ac:dyDescent="0.25"/>
  <cols>
    <col min="1" max="1" width="36" customWidth="1"/>
    <col min="2" max="2" width="10" customWidth="1"/>
    <col min="3" max="3" width="14" customWidth="1"/>
    <col min="4" max="4" width="13" customWidth="1"/>
    <col min="5" max="5" width="50" customWidth="1"/>
    <col min="6" max="8" width="12" customWidth="1"/>
  </cols>
  <sheetData>
    <row r="1" spans="1:10" ht="18" x14ac:dyDescent="0.25">
      <c r="A1" s="1" t="s">
        <v>85</v>
      </c>
      <c r="J1" s="2" t="s">
        <v>1</v>
      </c>
    </row>
    <row r="2" spans="1:10" ht="72" x14ac:dyDescent="0.25">
      <c r="A2" s="14" t="s">
        <v>86</v>
      </c>
    </row>
    <row r="3" spans="1:10" ht="25.5" x14ac:dyDescent="0.25">
      <c r="A3" s="8" t="s">
        <v>87</v>
      </c>
      <c r="B3" s="8"/>
      <c r="C3" s="8" t="s">
        <v>88</v>
      </c>
      <c r="D3" s="8" t="s">
        <v>89</v>
      </c>
      <c r="E3" s="8" t="s">
        <v>90</v>
      </c>
      <c r="F3" s="8" t="s">
        <v>91</v>
      </c>
      <c r="G3" s="8" t="s">
        <v>92</v>
      </c>
      <c r="H3" s="8" t="s">
        <v>93</v>
      </c>
    </row>
    <row r="4" spans="1:10" x14ac:dyDescent="0.25">
      <c r="A4" s="6" t="s">
        <v>94</v>
      </c>
    </row>
    <row r="5" spans="1:10" x14ac:dyDescent="0.25">
      <c r="A5" s="15" t="s">
        <v>95</v>
      </c>
      <c r="C5" s="16">
        <v>4.7759999999999997E-2</v>
      </c>
      <c r="D5" s="15" t="s">
        <v>96</v>
      </c>
      <c r="E5" s="14" t="s">
        <v>97</v>
      </c>
      <c r="F5" s="17" t="s">
        <v>98</v>
      </c>
      <c r="G5" s="17" t="s">
        <v>99</v>
      </c>
    </row>
    <row r="6" spans="1:10" x14ac:dyDescent="0.25">
      <c r="A6" s="15" t="s">
        <v>100</v>
      </c>
      <c r="C6" s="16">
        <v>0.14000000000000001</v>
      </c>
      <c r="D6" s="15" t="s">
        <v>96</v>
      </c>
      <c r="E6" s="14" t="s">
        <v>101</v>
      </c>
      <c r="F6" s="17" t="s">
        <v>9</v>
      </c>
      <c r="G6" s="17" t="s">
        <v>102</v>
      </c>
    </row>
    <row r="7" spans="1:10" x14ac:dyDescent="0.25">
      <c r="A7" s="3" t="s">
        <v>103</v>
      </c>
      <c r="C7" s="18">
        <f>Inputs!$C$5+Inputs!$C$6</f>
        <v>0.18776000000000001</v>
      </c>
      <c r="D7" s="15" t="s">
        <v>96</v>
      </c>
    </row>
    <row r="8" spans="1:10" x14ac:dyDescent="0.25">
      <c r="A8" s="6" t="s">
        <v>104</v>
      </c>
    </row>
    <row r="9" spans="1:10" x14ac:dyDescent="0.25">
      <c r="A9" s="15" t="s">
        <v>105</v>
      </c>
      <c r="C9" s="19">
        <v>25</v>
      </c>
      <c r="D9" s="15" t="s">
        <v>106</v>
      </c>
      <c r="E9" s="14" t="s">
        <v>101</v>
      </c>
      <c r="F9" s="17" t="s">
        <v>9</v>
      </c>
      <c r="G9" s="17" t="s">
        <v>102</v>
      </c>
    </row>
    <row r="10" spans="1:10" x14ac:dyDescent="0.25">
      <c r="A10" s="15" t="s">
        <v>107</v>
      </c>
      <c r="C10" s="20">
        <v>35</v>
      </c>
      <c r="D10" s="15" t="s">
        <v>108</v>
      </c>
      <c r="E10" s="14" t="s">
        <v>101</v>
      </c>
      <c r="F10" s="17" t="s">
        <v>9</v>
      </c>
      <c r="G10" s="17" t="s">
        <v>102</v>
      </c>
    </row>
    <row r="11" spans="1:10" x14ac:dyDescent="0.25">
      <c r="A11" s="15" t="s">
        <v>109</v>
      </c>
      <c r="C11" s="20">
        <v>3</v>
      </c>
      <c r="D11" s="15" t="s">
        <v>110</v>
      </c>
      <c r="E11" s="14" t="s">
        <v>101</v>
      </c>
      <c r="F11" s="17" t="s">
        <v>9</v>
      </c>
      <c r="G11" s="17" t="s">
        <v>102</v>
      </c>
    </row>
    <row r="12" spans="1:10" x14ac:dyDescent="0.25">
      <c r="A12" s="6" t="s">
        <v>111</v>
      </c>
    </row>
    <row r="13" spans="1:10" x14ac:dyDescent="0.25">
      <c r="A13" s="15" t="s">
        <v>112</v>
      </c>
      <c r="C13" s="19">
        <v>8</v>
      </c>
      <c r="D13" s="15" t="s">
        <v>106</v>
      </c>
      <c r="E13" s="14" t="s">
        <v>101</v>
      </c>
      <c r="F13" s="17" t="s">
        <v>9</v>
      </c>
      <c r="G13" s="17" t="s">
        <v>113</v>
      </c>
    </row>
    <row r="14" spans="1:10" x14ac:dyDescent="0.25">
      <c r="A14" s="15" t="s">
        <v>114</v>
      </c>
      <c r="C14" s="19">
        <v>2</v>
      </c>
      <c r="D14" s="15" t="s">
        <v>106</v>
      </c>
      <c r="E14" s="14" t="s">
        <v>101</v>
      </c>
      <c r="F14" s="17" t="s">
        <v>9</v>
      </c>
      <c r="G14" s="17" t="s">
        <v>113</v>
      </c>
    </row>
    <row r="15" spans="1:10" x14ac:dyDescent="0.25">
      <c r="A15" s="15" t="s">
        <v>115</v>
      </c>
      <c r="C15" s="16">
        <v>0.1</v>
      </c>
      <c r="D15" s="15" t="s">
        <v>96</v>
      </c>
      <c r="E15" s="14" t="s">
        <v>101</v>
      </c>
      <c r="F15" s="17" t="s">
        <v>9</v>
      </c>
      <c r="G15" s="17" t="s">
        <v>113</v>
      </c>
    </row>
    <row r="16" spans="1:10" x14ac:dyDescent="0.25">
      <c r="A16" s="15" t="s">
        <v>116</v>
      </c>
      <c r="C16" s="16">
        <v>0.2</v>
      </c>
      <c r="D16" s="15" t="s">
        <v>96</v>
      </c>
      <c r="E16" s="14" t="s">
        <v>101</v>
      </c>
      <c r="F16" s="17" t="s">
        <v>9</v>
      </c>
      <c r="G16" s="17" t="s">
        <v>113</v>
      </c>
    </row>
    <row r="17" spans="1:8" x14ac:dyDescent="0.25">
      <c r="A17" s="15" t="s">
        <v>117</v>
      </c>
      <c r="C17" s="21">
        <v>1</v>
      </c>
      <c r="D17" s="15" t="s">
        <v>118</v>
      </c>
      <c r="E17" s="14" t="s">
        <v>101</v>
      </c>
      <c r="F17" s="17" t="s">
        <v>9</v>
      </c>
      <c r="G17" s="17" t="s">
        <v>113</v>
      </c>
    </row>
    <row r="18" spans="1:8" x14ac:dyDescent="0.25">
      <c r="A18" s="15" t="s">
        <v>119</v>
      </c>
      <c r="C18" s="20">
        <v>5</v>
      </c>
      <c r="D18" s="15" t="s">
        <v>110</v>
      </c>
      <c r="E18" s="14" t="s">
        <v>101</v>
      </c>
      <c r="F18" s="17" t="s">
        <v>9</v>
      </c>
      <c r="G18" s="17" t="s">
        <v>113</v>
      </c>
    </row>
    <row r="20" spans="1:8" x14ac:dyDescent="0.25">
      <c r="A20" s="6" t="s">
        <v>120</v>
      </c>
    </row>
    <row r="21" spans="1:8" x14ac:dyDescent="0.25">
      <c r="A21" s="15" t="s">
        <v>121</v>
      </c>
      <c r="C21" s="22">
        <v>0.5</v>
      </c>
      <c r="D21" s="15" t="s">
        <v>122</v>
      </c>
      <c r="E21" s="14" t="s">
        <v>123</v>
      </c>
      <c r="F21" s="17" t="s">
        <v>9</v>
      </c>
      <c r="G21" s="17" t="s">
        <v>102</v>
      </c>
    </row>
    <row r="22" spans="1:8" x14ac:dyDescent="0.25">
      <c r="A22" s="15" t="s">
        <v>124</v>
      </c>
      <c r="C22" s="16">
        <v>0.3</v>
      </c>
      <c r="D22" s="15" t="s">
        <v>96</v>
      </c>
      <c r="E22" s="14" t="s">
        <v>101</v>
      </c>
      <c r="F22" s="17" t="s">
        <v>9</v>
      </c>
      <c r="G22" s="17" t="s">
        <v>102</v>
      </c>
    </row>
    <row r="23" spans="1:8" x14ac:dyDescent="0.25">
      <c r="A23" s="6" t="s">
        <v>125</v>
      </c>
    </row>
    <row r="24" spans="1:8" ht="24" x14ac:dyDescent="0.25">
      <c r="A24" s="15" t="s">
        <v>126</v>
      </c>
      <c r="C24" s="23">
        <v>1.8</v>
      </c>
      <c r="D24" s="15" t="s">
        <v>127</v>
      </c>
      <c r="E24" s="14" t="s">
        <v>128</v>
      </c>
      <c r="F24" s="17" t="s">
        <v>9</v>
      </c>
      <c r="G24" s="17" t="s">
        <v>102</v>
      </c>
    </row>
    <row r="25" spans="1:8" x14ac:dyDescent="0.25">
      <c r="A25" s="6" t="s">
        <v>129</v>
      </c>
    </row>
    <row r="26" spans="1:8" ht="24" x14ac:dyDescent="0.25">
      <c r="A26" s="15" t="s">
        <v>130</v>
      </c>
      <c r="C26" s="16">
        <v>0.8</v>
      </c>
      <c r="D26" s="15" t="s">
        <v>131</v>
      </c>
      <c r="E26" s="14" t="s">
        <v>132</v>
      </c>
      <c r="F26" s="17" t="s">
        <v>133</v>
      </c>
      <c r="G26" s="17" t="s">
        <v>102</v>
      </c>
      <c r="H26" s="24">
        <v>1.25</v>
      </c>
    </row>
    <row r="27" spans="1:8" ht="36" x14ac:dyDescent="0.25">
      <c r="A27" s="15" t="s">
        <v>134</v>
      </c>
      <c r="C27" s="16">
        <v>0.7</v>
      </c>
      <c r="D27" s="15" t="s">
        <v>131</v>
      </c>
      <c r="E27" s="14" t="s">
        <v>135</v>
      </c>
      <c r="F27" s="17" t="s">
        <v>133</v>
      </c>
      <c r="G27" s="17" t="s">
        <v>102</v>
      </c>
      <c r="H27" s="24">
        <v>1.5</v>
      </c>
    </row>
    <row r="28" spans="1:8" ht="24" x14ac:dyDescent="0.25">
      <c r="A28" s="15" t="s">
        <v>136</v>
      </c>
      <c r="C28" s="16">
        <v>0.8</v>
      </c>
      <c r="D28" s="15" t="s">
        <v>131</v>
      </c>
      <c r="E28" s="14" t="s">
        <v>137</v>
      </c>
      <c r="F28" s="17" t="s">
        <v>133</v>
      </c>
      <c r="G28" s="17" t="s">
        <v>102</v>
      </c>
      <c r="H28" s="24">
        <v>0.5</v>
      </c>
    </row>
    <row r="29" spans="1:8" x14ac:dyDescent="0.25">
      <c r="A29" s="6" t="s">
        <v>138</v>
      </c>
    </row>
    <row r="30" spans="1:8" ht="24" x14ac:dyDescent="0.25">
      <c r="A30" s="15" t="s">
        <v>139</v>
      </c>
      <c r="C30" s="23">
        <v>0.2</v>
      </c>
      <c r="D30" s="15" t="s">
        <v>127</v>
      </c>
      <c r="E30" s="14" t="s">
        <v>140</v>
      </c>
      <c r="F30" s="17" t="s">
        <v>9</v>
      </c>
      <c r="G30" s="17" t="s">
        <v>102</v>
      </c>
    </row>
    <row r="31" spans="1:8" ht="24" x14ac:dyDescent="0.25">
      <c r="A31" s="15" t="s">
        <v>141</v>
      </c>
      <c r="C31" s="23">
        <v>0.18</v>
      </c>
      <c r="D31" s="15" t="s">
        <v>127</v>
      </c>
      <c r="E31" s="14" t="s">
        <v>140</v>
      </c>
      <c r="F31" s="17" t="s">
        <v>9</v>
      </c>
      <c r="G31" s="17" t="s">
        <v>102</v>
      </c>
    </row>
    <row r="32" spans="1:8" ht="24" x14ac:dyDescent="0.25">
      <c r="A32" s="15" t="s">
        <v>142</v>
      </c>
      <c r="C32" s="23">
        <v>0.12</v>
      </c>
      <c r="D32" s="15" t="s">
        <v>127</v>
      </c>
      <c r="E32" s="14" t="s">
        <v>140</v>
      </c>
      <c r="F32" s="17" t="s">
        <v>9</v>
      </c>
      <c r="G32" s="17" t="s">
        <v>102</v>
      </c>
    </row>
    <row r="33" spans="1:7" x14ac:dyDescent="0.25">
      <c r="A33" s="6" t="s">
        <v>143</v>
      </c>
    </row>
    <row r="34" spans="1:7" x14ac:dyDescent="0.25">
      <c r="A34" s="15" t="s">
        <v>144</v>
      </c>
      <c r="C34" s="16">
        <v>0.25</v>
      </c>
      <c r="D34" s="15" t="s">
        <v>96</v>
      </c>
      <c r="E34" s="14" t="s">
        <v>101</v>
      </c>
      <c r="F34" s="17" t="s">
        <v>9</v>
      </c>
      <c r="G34" s="17" t="s">
        <v>102</v>
      </c>
    </row>
    <row r="35" spans="1:7" x14ac:dyDescent="0.25">
      <c r="A35" s="6" t="s">
        <v>145</v>
      </c>
    </row>
    <row r="36" spans="1:7" x14ac:dyDescent="0.25">
      <c r="A36" s="15" t="s">
        <v>146</v>
      </c>
      <c r="C36" s="25">
        <v>0.5</v>
      </c>
      <c r="D36" s="25">
        <v>0.5</v>
      </c>
      <c r="E36" s="25">
        <v>0</v>
      </c>
      <c r="F36" s="25">
        <v>0</v>
      </c>
    </row>
    <row r="37" spans="1:7" x14ac:dyDescent="0.25">
      <c r="A37" s="15" t="s">
        <v>147</v>
      </c>
      <c r="C37" s="25">
        <v>0</v>
      </c>
      <c r="D37" s="25">
        <v>0</v>
      </c>
      <c r="E37" s="25">
        <v>0.5</v>
      </c>
      <c r="F37" s="25">
        <v>0.5</v>
      </c>
    </row>
    <row r="38" spans="1:7" x14ac:dyDescent="0.25">
      <c r="A38" s="6" t="s">
        <v>148</v>
      </c>
    </row>
    <row r="39" spans="1:7" ht="25.5" x14ac:dyDescent="0.25">
      <c r="A39" s="8" t="s">
        <v>149</v>
      </c>
      <c r="B39" s="8" t="s">
        <v>150</v>
      </c>
      <c r="C39" s="8" t="s">
        <v>151</v>
      </c>
      <c r="D39" s="8" t="s">
        <v>152</v>
      </c>
      <c r="E39" s="8" t="s">
        <v>153</v>
      </c>
      <c r="F39" s="8" t="s">
        <v>154</v>
      </c>
      <c r="G39" s="8" t="s">
        <v>155</v>
      </c>
    </row>
    <row r="40" spans="1:7" x14ac:dyDescent="0.25">
      <c r="A40" s="12" t="s">
        <v>156</v>
      </c>
      <c r="B40" s="11" t="s">
        <v>139</v>
      </c>
      <c r="C40" s="12" t="s">
        <v>157</v>
      </c>
      <c r="D40" s="20">
        <v>5</v>
      </c>
      <c r="E40" s="24">
        <v>2</v>
      </c>
      <c r="F40" s="26">
        <f t="shared" ref="F40:F45" si="0">D40*E40</f>
        <v>10</v>
      </c>
      <c r="G40" s="24">
        <v>2.5</v>
      </c>
    </row>
    <row r="41" spans="1:7" x14ac:dyDescent="0.25">
      <c r="A41" s="12" t="s">
        <v>158</v>
      </c>
      <c r="B41" s="11" t="s">
        <v>139</v>
      </c>
      <c r="C41" s="12" t="s">
        <v>159</v>
      </c>
      <c r="D41" s="20">
        <v>5</v>
      </c>
      <c r="E41" s="24">
        <v>4</v>
      </c>
      <c r="F41" s="26">
        <f t="shared" si="0"/>
        <v>20</v>
      </c>
      <c r="G41" s="24">
        <v>3</v>
      </c>
    </row>
    <row r="42" spans="1:7" x14ac:dyDescent="0.25">
      <c r="A42" s="12" t="s">
        <v>160</v>
      </c>
      <c r="B42" s="11" t="s">
        <v>139</v>
      </c>
      <c r="C42" s="12" t="s">
        <v>161</v>
      </c>
      <c r="D42" s="20">
        <v>5</v>
      </c>
      <c r="E42" s="24">
        <v>2</v>
      </c>
      <c r="F42" s="26">
        <f t="shared" si="0"/>
        <v>10</v>
      </c>
      <c r="G42" s="24">
        <v>2</v>
      </c>
    </row>
    <row r="43" spans="1:7" x14ac:dyDescent="0.25">
      <c r="A43" s="12" t="s">
        <v>162</v>
      </c>
      <c r="B43" s="11" t="s">
        <v>141</v>
      </c>
      <c r="C43" s="12" t="s">
        <v>163</v>
      </c>
      <c r="D43" s="20">
        <v>5</v>
      </c>
      <c r="E43" s="24">
        <v>2</v>
      </c>
      <c r="F43" s="26">
        <f t="shared" si="0"/>
        <v>10</v>
      </c>
      <c r="G43" s="24">
        <v>2.5</v>
      </c>
    </row>
    <row r="44" spans="1:7" x14ac:dyDescent="0.25">
      <c r="A44" s="12" t="s">
        <v>164</v>
      </c>
      <c r="B44" s="11" t="s">
        <v>141</v>
      </c>
      <c r="C44" s="12" t="s">
        <v>165</v>
      </c>
      <c r="D44" s="20">
        <v>5</v>
      </c>
      <c r="E44" s="24">
        <v>2</v>
      </c>
      <c r="F44" s="26">
        <f t="shared" si="0"/>
        <v>10</v>
      </c>
      <c r="G44" s="24">
        <v>2</v>
      </c>
    </row>
    <row r="45" spans="1:7" x14ac:dyDescent="0.25">
      <c r="A45" s="12" t="s">
        <v>166</v>
      </c>
      <c r="B45" s="11" t="s">
        <v>142</v>
      </c>
      <c r="C45" s="12" t="s">
        <v>167</v>
      </c>
      <c r="D45" s="20">
        <v>5</v>
      </c>
      <c r="E45" s="24">
        <v>2</v>
      </c>
      <c r="F45" s="26">
        <f t="shared" si="0"/>
        <v>10</v>
      </c>
      <c r="G45" s="24">
        <v>2.5</v>
      </c>
    </row>
    <row r="47" spans="1:7" x14ac:dyDescent="0.25">
      <c r="A47" s="6" t="s">
        <v>168</v>
      </c>
    </row>
    <row r="48" spans="1:7" x14ac:dyDescent="0.25">
      <c r="A48" s="15" t="s">
        <v>169</v>
      </c>
      <c r="C48" s="20">
        <v>25</v>
      </c>
      <c r="D48" s="15" t="s">
        <v>108</v>
      </c>
      <c r="E48" s="14" t="s">
        <v>101</v>
      </c>
      <c r="F48" s="17" t="s">
        <v>9</v>
      </c>
      <c r="G48" s="17" t="s">
        <v>113</v>
      </c>
    </row>
    <row r="49" spans="1:7" x14ac:dyDescent="0.25">
      <c r="A49" s="15" t="s">
        <v>170</v>
      </c>
      <c r="C49" s="16">
        <v>0</v>
      </c>
      <c r="D49" s="15" t="s">
        <v>96</v>
      </c>
      <c r="E49" s="14" t="s">
        <v>101</v>
      </c>
      <c r="F49" s="17" t="s">
        <v>9</v>
      </c>
      <c r="G49" s="17" t="s">
        <v>113</v>
      </c>
    </row>
    <row r="50" spans="1:7" x14ac:dyDescent="0.25">
      <c r="A50" s="15" t="s">
        <v>171</v>
      </c>
      <c r="C50" s="19">
        <v>0</v>
      </c>
      <c r="D50" s="15" t="s">
        <v>106</v>
      </c>
      <c r="E50" s="14" t="s">
        <v>101</v>
      </c>
      <c r="F50" s="17" t="s">
        <v>9</v>
      </c>
      <c r="G50" s="17" t="s">
        <v>113</v>
      </c>
    </row>
    <row r="51" spans="1:7" x14ac:dyDescent="0.25">
      <c r="A51" s="6" t="s">
        <v>172</v>
      </c>
    </row>
    <row r="52" spans="1:7" x14ac:dyDescent="0.25">
      <c r="A52" s="15" t="s">
        <v>173</v>
      </c>
      <c r="C52" s="27">
        <v>3</v>
      </c>
      <c r="D52" s="15" t="s">
        <v>118</v>
      </c>
      <c r="E52" s="14" t="s">
        <v>101</v>
      </c>
      <c r="F52" s="17" t="s">
        <v>9</v>
      </c>
      <c r="G52" s="17" t="s">
        <v>113</v>
      </c>
    </row>
    <row r="53" spans="1:7" x14ac:dyDescent="0.25">
      <c r="A53" s="15" t="s">
        <v>174</v>
      </c>
      <c r="C53" s="27">
        <v>5</v>
      </c>
      <c r="D53" s="15" t="s">
        <v>118</v>
      </c>
      <c r="E53" s="14" t="s">
        <v>101</v>
      </c>
      <c r="F53" s="17" t="s">
        <v>9</v>
      </c>
      <c r="G53" s="17" t="s">
        <v>113</v>
      </c>
    </row>
    <row r="54" spans="1:7" x14ac:dyDescent="0.25">
      <c r="A54" s="15" t="s">
        <v>175</v>
      </c>
      <c r="C54" s="27">
        <v>7</v>
      </c>
      <c r="D54" s="15" t="s">
        <v>118</v>
      </c>
      <c r="E54" s="14" t="s">
        <v>101</v>
      </c>
      <c r="F54" s="17" t="s">
        <v>9</v>
      </c>
      <c r="G54" s="17" t="s">
        <v>113</v>
      </c>
    </row>
    <row r="56" spans="1:7" x14ac:dyDescent="0.25">
      <c r="A56" s="6" t="s">
        <v>176</v>
      </c>
    </row>
    <row r="57" spans="1:7" x14ac:dyDescent="0.25">
      <c r="A57" s="15" t="s">
        <v>177</v>
      </c>
      <c r="C57" s="20">
        <v>0</v>
      </c>
    </row>
    <row r="58" spans="1:7" x14ac:dyDescent="0.25">
      <c r="A58" s="15" t="s">
        <v>178</v>
      </c>
      <c r="C58" s="20">
        <v>0</v>
      </c>
    </row>
    <row r="59" spans="1:7" x14ac:dyDescent="0.25">
      <c r="A59" s="15" t="s">
        <v>179</v>
      </c>
      <c r="C59" s="20">
        <v>1</v>
      </c>
    </row>
    <row r="60" spans="1:7" ht="60" x14ac:dyDescent="0.25">
      <c r="A60" s="14" t="s">
        <v>180</v>
      </c>
    </row>
    <row r="62" spans="1:7" x14ac:dyDescent="0.25">
      <c r="A62" s="6" t="s">
        <v>181</v>
      </c>
    </row>
    <row r="63" spans="1:7" ht="25.5" x14ac:dyDescent="0.25">
      <c r="A63" s="8" t="s">
        <v>182</v>
      </c>
      <c r="B63" s="8" t="s">
        <v>183</v>
      </c>
      <c r="C63" s="8" t="s">
        <v>184</v>
      </c>
      <c r="D63" s="8" t="s">
        <v>185</v>
      </c>
    </row>
    <row r="64" spans="1:7" x14ac:dyDescent="0.25">
      <c r="A64" s="15" t="s">
        <v>186</v>
      </c>
      <c r="B64" s="25">
        <v>0.4</v>
      </c>
      <c r="C64" s="25">
        <v>0.65</v>
      </c>
      <c r="D64" s="25">
        <v>0.8</v>
      </c>
    </row>
    <row r="65" spans="1:4" x14ac:dyDescent="0.25">
      <c r="A65" s="15" t="s">
        <v>187</v>
      </c>
      <c r="B65" s="28">
        <v>0.85</v>
      </c>
      <c r="C65" s="28">
        <v>1</v>
      </c>
      <c r="D65" s="28">
        <v>1.1499999999999999</v>
      </c>
    </row>
    <row r="66" spans="1:4" x14ac:dyDescent="0.25">
      <c r="A66" s="15" t="s">
        <v>188</v>
      </c>
      <c r="B66" s="28">
        <v>1.05</v>
      </c>
      <c r="C66" s="28">
        <v>1</v>
      </c>
      <c r="D66" s="28">
        <v>0.97</v>
      </c>
    </row>
    <row r="67" spans="1:4" x14ac:dyDescent="0.25">
      <c r="A67" s="15" t="s">
        <v>189</v>
      </c>
      <c r="B67" s="25">
        <v>0.3</v>
      </c>
      <c r="C67" s="25">
        <v>0.5</v>
      </c>
      <c r="D67" s="25">
        <v>0.2</v>
      </c>
    </row>
  </sheetData>
  <hyperlinks>
    <hyperlink ref="J1" location="'Contents'!A1" display="↩ Contents" xr:uid="{00000000-0004-0000-0300-00000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1:J5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34" customWidth="1"/>
    <col min="2" max="5" width="12" customWidth="1"/>
  </cols>
  <sheetData>
    <row r="1" spans="1:10" ht="18" x14ac:dyDescent="0.25">
      <c r="A1" s="1" t="s">
        <v>190</v>
      </c>
      <c r="J1" s="2" t="s">
        <v>1</v>
      </c>
    </row>
    <row r="2" spans="1:10" x14ac:dyDescent="0.25">
      <c r="A2" s="15" t="s">
        <v>191</v>
      </c>
      <c r="B2" s="20">
        <v>2026</v>
      </c>
    </row>
    <row r="3" spans="1:10" x14ac:dyDescent="0.25">
      <c r="A3" s="15" t="s">
        <v>192</v>
      </c>
      <c r="B3" s="29">
        <v>0</v>
      </c>
      <c r="C3" s="29">
        <v>1</v>
      </c>
      <c r="D3" s="29">
        <v>2</v>
      </c>
      <c r="E3" s="29">
        <v>3</v>
      </c>
    </row>
    <row r="4" spans="1:10" x14ac:dyDescent="0.25">
      <c r="A4" s="15" t="s">
        <v>193</v>
      </c>
      <c r="B4" s="30">
        <f>$B$2+B3</f>
        <v>2026</v>
      </c>
      <c r="C4" s="30">
        <f>$B$2+C3</f>
        <v>2027</v>
      </c>
      <c r="D4" s="30">
        <f>$B$2+D3</f>
        <v>2028</v>
      </c>
      <c r="E4" s="30">
        <f>$B$2+E3</f>
        <v>2029</v>
      </c>
    </row>
    <row r="5" spans="1:10" x14ac:dyDescent="0.25">
      <c r="A5" s="15" t="s">
        <v>194</v>
      </c>
      <c r="B5" s="31">
        <f>IFERROR(1/(1+Scenarios!$E$9)^B3,0)</f>
        <v>1</v>
      </c>
      <c r="C5" s="31">
        <f>IFERROR(1/(1+Scenarios!$E$9)^C3,0)</f>
        <v>0.84192092678655628</v>
      </c>
      <c r="D5" s="31">
        <f>IFERROR(1/(1+Scenarios!$E$9)^D3,0)</f>
        <v>0.70883084696113385</v>
      </c>
      <c r="E5" s="31">
        <f>IFERROR(1/(1+Scenarios!$E$9)^E3,0)</f>
        <v>0.59677952360841746</v>
      </c>
    </row>
  </sheetData>
  <hyperlinks>
    <hyperlink ref="J1" location="'Contents'!A1" display="↩ Contents" xr:uid="{00000000-0004-0000-0400-000000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J15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44" customWidth="1"/>
    <col min="2" max="5" width="14" customWidth="1"/>
  </cols>
  <sheetData>
    <row r="1" spans="1:10" ht="18" x14ac:dyDescent="0.25">
      <c r="A1" s="1" t="s">
        <v>195</v>
      </c>
      <c r="J1" s="2" t="s">
        <v>1</v>
      </c>
    </row>
    <row r="2" spans="1:10" x14ac:dyDescent="0.25">
      <c r="A2" s="3" t="s">
        <v>196</v>
      </c>
      <c r="B2" s="32">
        <v>2</v>
      </c>
    </row>
    <row r="3" spans="1:10" x14ac:dyDescent="0.25">
      <c r="A3" s="3" t="s">
        <v>12</v>
      </c>
      <c r="B3" s="3" t="str">
        <f>CHOOSE(Scenarios!$B$2,"Conservative","Base","Ideal")</f>
        <v>Base</v>
      </c>
    </row>
    <row r="4" spans="1:10" x14ac:dyDescent="0.25">
      <c r="A4" s="8" t="s">
        <v>182</v>
      </c>
      <c r="B4" s="8" t="s">
        <v>183</v>
      </c>
      <c r="C4" s="8" t="s">
        <v>184</v>
      </c>
      <c r="D4" s="8" t="s">
        <v>185</v>
      </c>
      <c r="E4" s="8" t="s">
        <v>197</v>
      </c>
    </row>
    <row r="5" spans="1:10" x14ac:dyDescent="0.25">
      <c r="A5" s="15" t="s">
        <v>198</v>
      </c>
      <c r="B5" s="33">
        <f>Inputs!$B$64</f>
        <v>0.4</v>
      </c>
      <c r="C5" s="33">
        <f>Inputs!$C$64</f>
        <v>0.65</v>
      </c>
      <c r="D5" s="33">
        <f>Inputs!$D$64</f>
        <v>0.8</v>
      </c>
      <c r="E5" s="18">
        <f>CHOOSE(Scenarios!$B$2,B5,C5,D5)</f>
        <v>0.65</v>
      </c>
    </row>
    <row r="6" spans="1:10" x14ac:dyDescent="0.25">
      <c r="A6" s="15" t="s">
        <v>187</v>
      </c>
      <c r="B6" s="34">
        <f>Inputs!$B$65</f>
        <v>0.85</v>
      </c>
      <c r="C6" s="34">
        <f>Inputs!$C$65</f>
        <v>1</v>
      </c>
      <c r="D6" s="34">
        <f>Inputs!$D$65</f>
        <v>1.1499999999999999</v>
      </c>
      <c r="E6" s="35">
        <f>CHOOSE(Scenarios!$B$2,B6,C6,D6)</f>
        <v>1</v>
      </c>
    </row>
    <row r="7" spans="1:10" x14ac:dyDescent="0.25">
      <c r="A7" s="15" t="s">
        <v>188</v>
      </c>
      <c r="B7" s="34">
        <f>Inputs!$B$66</f>
        <v>1.05</v>
      </c>
      <c r="C7" s="34">
        <f>Inputs!$C$66</f>
        <v>1</v>
      </c>
      <c r="D7" s="34">
        <f>Inputs!$D$66</f>
        <v>0.97</v>
      </c>
      <c r="E7" s="35">
        <f>CHOOSE(Scenarios!$B$2,B7,C7,D7)</f>
        <v>1</v>
      </c>
    </row>
    <row r="9" spans="1:10" x14ac:dyDescent="0.25">
      <c r="A9" s="3" t="s">
        <v>199</v>
      </c>
      <c r="E9" s="36">
        <f>Inputs!$C$7</f>
        <v>0.18776000000000001</v>
      </c>
    </row>
    <row r="11" spans="1:10" x14ac:dyDescent="0.25">
      <c r="A11" s="6" t="s">
        <v>200</v>
      </c>
    </row>
    <row r="12" spans="1:10" x14ac:dyDescent="0.25">
      <c r="A12" s="8"/>
      <c r="B12" s="8" t="s">
        <v>183</v>
      </c>
      <c r="C12" s="8" t="s">
        <v>184</v>
      </c>
      <c r="D12" s="8" t="s">
        <v>185</v>
      </c>
      <c r="E12" s="8" t="s">
        <v>201</v>
      </c>
    </row>
    <row r="13" spans="1:10" x14ac:dyDescent="0.25">
      <c r="A13" s="15" t="s">
        <v>202</v>
      </c>
      <c r="B13" s="33">
        <f>Inputs!$B$67</f>
        <v>0.3</v>
      </c>
      <c r="C13" s="33">
        <f>Inputs!$C$67</f>
        <v>0.5</v>
      </c>
      <c r="D13" s="33">
        <f>Inputs!$D$67</f>
        <v>0.2</v>
      </c>
      <c r="E13" s="18">
        <f>SUM(B13:D13)</f>
        <v>1</v>
      </c>
    </row>
    <row r="15" spans="1:10" ht="108" x14ac:dyDescent="0.25">
      <c r="A15" s="14" t="s">
        <v>203</v>
      </c>
    </row>
  </sheetData>
  <hyperlinks>
    <hyperlink ref="J1" location="'Contents'!A1" display="↩ Contents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FF"/>
  </sheetPr>
  <dimension ref="A1:J18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46" customWidth="1"/>
    <col min="2" max="2" width="16" customWidth="1"/>
    <col min="3" max="3" width="18" customWidth="1"/>
  </cols>
  <sheetData>
    <row r="1" spans="1:10" ht="18" x14ac:dyDescent="0.25">
      <c r="A1" s="1" t="s">
        <v>204</v>
      </c>
      <c r="J1" s="2" t="s">
        <v>1</v>
      </c>
    </row>
    <row r="2" spans="1:10" ht="72" x14ac:dyDescent="0.25">
      <c r="A2" s="14" t="s">
        <v>205</v>
      </c>
    </row>
    <row r="3" spans="1:10" ht="25.5" x14ac:dyDescent="0.25">
      <c r="A3" s="8" t="s">
        <v>206</v>
      </c>
      <c r="B3" s="8" t="s">
        <v>207</v>
      </c>
      <c r="C3" s="8" t="s">
        <v>208</v>
      </c>
    </row>
    <row r="4" spans="1:10" x14ac:dyDescent="0.25">
      <c r="A4" s="15" t="s">
        <v>209</v>
      </c>
      <c r="B4" s="37">
        <f>Scenarios!$E$5</f>
        <v>0.65</v>
      </c>
      <c r="C4" s="38">
        <f>B4</f>
        <v>0.65</v>
      </c>
    </row>
    <row r="5" spans="1:10" x14ac:dyDescent="0.25">
      <c r="A5" s="15" t="s">
        <v>134</v>
      </c>
      <c r="B5" s="37">
        <f>Inputs!$C$27</f>
        <v>0.7</v>
      </c>
      <c r="C5" s="38">
        <f>C4*B5</f>
        <v>0.45499999999999996</v>
      </c>
    </row>
    <row r="6" spans="1:10" x14ac:dyDescent="0.25">
      <c r="A6" s="15" t="s">
        <v>210</v>
      </c>
      <c r="B6" s="37">
        <f>Inputs!$C$28</f>
        <v>0.8</v>
      </c>
      <c r="C6" s="38">
        <f>C5*B6</f>
        <v>0.36399999999999999</v>
      </c>
    </row>
    <row r="7" spans="1:10" x14ac:dyDescent="0.25">
      <c r="A7" s="3" t="s">
        <v>211</v>
      </c>
      <c r="C7" s="39">
        <f>C6</f>
        <v>0.36399999999999999</v>
      </c>
    </row>
    <row r="9" spans="1:10" x14ac:dyDescent="0.25">
      <c r="A9" s="15" t="s">
        <v>212</v>
      </c>
      <c r="C9" s="37">
        <f>Inputs!$C$26</f>
        <v>0.8</v>
      </c>
    </row>
    <row r="10" spans="1:10" x14ac:dyDescent="0.25">
      <c r="A10" s="3" t="s">
        <v>213</v>
      </c>
      <c r="C10" s="18">
        <f>C9*Inputs!$C$27*Inputs!$C$28</f>
        <v>0.44799999999999995</v>
      </c>
    </row>
    <row r="12" spans="1:10" x14ac:dyDescent="0.25">
      <c r="A12" s="15" t="s">
        <v>214</v>
      </c>
      <c r="C12" s="37">
        <f>Scenarios!$C$5</f>
        <v>0.65</v>
      </c>
    </row>
    <row r="13" spans="1:10" x14ac:dyDescent="0.25">
      <c r="A13" s="3" t="s">
        <v>215</v>
      </c>
      <c r="C13" s="18">
        <f>Scenarios!$C$5*Inputs!$C$27*Inputs!$C$28</f>
        <v>0.36399999999999999</v>
      </c>
    </row>
    <row r="14" spans="1:10" x14ac:dyDescent="0.25">
      <c r="C14" s="40" t="str">
        <f>IF(C13&lt;C12,"FLAG: 65% is the DA gate only","ok")</f>
        <v>FLAG: 65% is the DA gate only</v>
      </c>
    </row>
    <row r="15" spans="1:10" ht="72" x14ac:dyDescent="0.25">
      <c r="A15" s="14" t="s">
        <v>216</v>
      </c>
    </row>
    <row r="17" spans="1:1" ht="84" x14ac:dyDescent="0.25">
      <c r="A17" s="14" t="s">
        <v>217</v>
      </c>
    </row>
    <row r="18" spans="1:1" ht="60" x14ac:dyDescent="0.25">
      <c r="A18" s="14" t="s">
        <v>218</v>
      </c>
    </row>
  </sheetData>
  <hyperlinks>
    <hyperlink ref="J1" location="'Contents'!A1" display="↩ Contents" xr:uid="{00000000-0004-0000-0600-000000000000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FF"/>
  </sheetPr>
  <dimension ref="A1:N11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28" customWidth="1"/>
    <col min="2" max="4" width="7" customWidth="1"/>
    <col min="5" max="5" width="11" customWidth="1"/>
    <col min="6" max="6" width="8" customWidth="1"/>
    <col min="7" max="9" width="11" customWidth="1"/>
    <col min="10" max="10" width="8" customWidth="1"/>
    <col min="11" max="11" width="11" customWidth="1"/>
    <col min="12" max="12" width="10" customWidth="1"/>
    <col min="13" max="14" width="11" customWidth="1"/>
  </cols>
  <sheetData>
    <row r="1" spans="1:14" ht="18" x14ac:dyDescent="0.25">
      <c r="A1" s="1" t="s">
        <v>219</v>
      </c>
      <c r="J1" s="2" t="s">
        <v>1</v>
      </c>
    </row>
    <row r="2" spans="1:14" ht="84" x14ac:dyDescent="0.25">
      <c r="A2" s="14" t="s">
        <v>220</v>
      </c>
    </row>
    <row r="3" spans="1:14" ht="25.5" x14ac:dyDescent="0.25">
      <c r="A3" s="8" t="s">
        <v>149</v>
      </c>
      <c r="B3" s="8" t="s">
        <v>150</v>
      </c>
      <c r="C3" s="8" t="s">
        <v>152</v>
      </c>
      <c r="D3" s="8" t="s">
        <v>221</v>
      </c>
      <c r="E3" s="8" t="s">
        <v>222</v>
      </c>
      <c r="F3" s="8" t="s">
        <v>223</v>
      </c>
      <c r="G3" s="8" t="s">
        <v>224</v>
      </c>
      <c r="H3" s="8" t="s">
        <v>225</v>
      </c>
      <c r="I3" s="8" t="s">
        <v>226</v>
      </c>
      <c r="J3" s="8" t="s">
        <v>227</v>
      </c>
      <c r="K3" s="8" t="s">
        <v>228</v>
      </c>
      <c r="L3" s="8" t="s">
        <v>229</v>
      </c>
      <c r="M3" s="8" t="s">
        <v>230</v>
      </c>
      <c r="N3" s="8" t="s">
        <v>231</v>
      </c>
    </row>
    <row r="4" spans="1:14" x14ac:dyDescent="0.25">
      <c r="A4" s="2" t="str">
        <f>Inputs!$A$40</f>
        <v>Riverina 5MW BESS (illustrative)</v>
      </c>
      <c r="B4" s="41" t="str">
        <f>Inputs!$B$40</f>
        <v>NSW</v>
      </c>
      <c r="C4" s="42">
        <f>Inputs!$D$40</f>
        <v>5</v>
      </c>
      <c r="D4" s="43">
        <f>Inputs!$G$40</f>
        <v>2.5</v>
      </c>
      <c r="E4" s="44">
        <f>IFERROR(INDEX(Inputs!$C$30:$C$32,MATCH(B4,Inputs!$A$30:$A$32,0)),0)</f>
        <v>0.2</v>
      </c>
      <c r="F4" s="45">
        <f>Scenarios!$E$6</f>
        <v>1</v>
      </c>
      <c r="G4" s="46">
        <f t="shared" ref="G4:G9" si="0">C4*E4*F4</f>
        <v>1</v>
      </c>
      <c r="H4" s="46">
        <f>Inputs!$C$21*Scenarios!$E$7</f>
        <v>0.5</v>
      </c>
      <c r="I4" s="46">
        <f t="shared" ref="I4:I9" si="1">G4-H4</f>
        <v>0.5</v>
      </c>
      <c r="J4" s="37">
        <f>Calc_Survival!$C$7</f>
        <v>0.36399999999999999</v>
      </c>
      <c r="K4" s="46">
        <f t="shared" ref="K4:K9" si="2">I4*J4</f>
        <v>0.182</v>
      </c>
      <c r="L4" s="47">
        <f>IFERROR(1/(1+Scenarios!$E$9)^D4,0)</f>
        <v>0.6503965983678085</v>
      </c>
      <c r="M4" s="46">
        <f t="shared" ref="M4:M9" si="3">K4*L4</f>
        <v>0.11837218090294115</v>
      </c>
      <c r="N4" s="46">
        <f t="shared" ref="N4:N9" si="4">C4*E4</f>
        <v>1</v>
      </c>
    </row>
    <row r="5" spans="1:14" x14ac:dyDescent="0.25">
      <c r="A5" s="2" t="str">
        <f>Inputs!$A$41</f>
        <v>Hunter Edge 5MW BESS (illustrative)</v>
      </c>
      <c r="B5" s="41" t="str">
        <f>Inputs!$B$41</f>
        <v>NSW</v>
      </c>
      <c r="C5" s="42">
        <f>Inputs!$D$41</f>
        <v>5</v>
      </c>
      <c r="D5" s="43">
        <f>Inputs!$G$41</f>
        <v>3</v>
      </c>
      <c r="E5" s="44">
        <f>IFERROR(INDEX(Inputs!$C$30:$C$32,MATCH(B5,Inputs!$A$30:$A$32,0)),0)</f>
        <v>0.2</v>
      </c>
      <c r="F5" s="45">
        <f>Scenarios!$E$6</f>
        <v>1</v>
      </c>
      <c r="G5" s="46">
        <f t="shared" si="0"/>
        <v>1</v>
      </c>
      <c r="H5" s="46">
        <f>Inputs!$C$21*Scenarios!$E$7</f>
        <v>0.5</v>
      </c>
      <c r="I5" s="46">
        <f t="shared" si="1"/>
        <v>0.5</v>
      </c>
      <c r="J5" s="37">
        <f>Calc_Survival!$C$7</f>
        <v>0.36399999999999999</v>
      </c>
      <c r="K5" s="46">
        <f t="shared" si="2"/>
        <v>0.182</v>
      </c>
      <c r="L5" s="47">
        <f>IFERROR(1/(1+Scenarios!$E$9)^D5,0)</f>
        <v>0.59677952360841746</v>
      </c>
      <c r="M5" s="46">
        <f t="shared" si="3"/>
        <v>0.10861387329673197</v>
      </c>
      <c r="N5" s="46">
        <f t="shared" si="4"/>
        <v>1</v>
      </c>
    </row>
    <row r="6" spans="1:14" x14ac:dyDescent="0.25">
      <c r="A6" s="2" t="str">
        <f>Inputs!$A$42</f>
        <v>Illawarra 5MW BESS (illustrative)</v>
      </c>
      <c r="B6" s="41" t="str">
        <f>Inputs!$B$42</f>
        <v>NSW</v>
      </c>
      <c r="C6" s="42">
        <f>Inputs!$D$42</f>
        <v>5</v>
      </c>
      <c r="D6" s="43">
        <f>Inputs!$G$42</f>
        <v>2</v>
      </c>
      <c r="E6" s="44">
        <f>IFERROR(INDEX(Inputs!$C$30:$C$32,MATCH(B6,Inputs!$A$30:$A$32,0)),0)</f>
        <v>0.2</v>
      </c>
      <c r="F6" s="45">
        <f>Scenarios!$E$6</f>
        <v>1</v>
      </c>
      <c r="G6" s="46">
        <f t="shared" si="0"/>
        <v>1</v>
      </c>
      <c r="H6" s="46">
        <f>Inputs!$C$21*Scenarios!$E$7</f>
        <v>0.5</v>
      </c>
      <c r="I6" s="46">
        <f t="shared" si="1"/>
        <v>0.5</v>
      </c>
      <c r="J6" s="37">
        <f>Calc_Survival!$C$7</f>
        <v>0.36399999999999999</v>
      </c>
      <c r="K6" s="46">
        <f t="shared" si="2"/>
        <v>0.182</v>
      </c>
      <c r="L6" s="47">
        <f>IFERROR(1/(1+Scenarios!$E$9)^D6,0)</f>
        <v>0.70883084696113385</v>
      </c>
      <c r="M6" s="46">
        <f t="shared" si="3"/>
        <v>0.12900721414692637</v>
      </c>
      <c r="N6" s="46">
        <f t="shared" si="4"/>
        <v>1</v>
      </c>
    </row>
    <row r="7" spans="1:14" x14ac:dyDescent="0.25">
      <c r="A7" s="2" t="str">
        <f>Inputs!$A$43</f>
        <v>Latrobe 5MW BESS (illustrative)</v>
      </c>
      <c r="B7" s="41" t="str">
        <f>Inputs!$B$43</f>
        <v>VIC</v>
      </c>
      <c r="C7" s="42">
        <f>Inputs!$D$43</f>
        <v>5</v>
      </c>
      <c r="D7" s="43">
        <f>Inputs!$G$43</f>
        <v>2.5</v>
      </c>
      <c r="E7" s="44">
        <f>IFERROR(INDEX(Inputs!$C$30:$C$32,MATCH(B7,Inputs!$A$30:$A$32,0)),0)</f>
        <v>0.18</v>
      </c>
      <c r="F7" s="45">
        <f>Scenarios!$E$6</f>
        <v>1</v>
      </c>
      <c r="G7" s="46">
        <f t="shared" si="0"/>
        <v>0.89999999999999991</v>
      </c>
      <c r="H7" s="46">
        <f>Inputs!$C$21*Scenarios!$E$7</f>
        <v>0.5</v>
      </c>
      <c r="I7" s="46">
        <f t="shared" si="1"/>
        <v>0.39999999999999991</v>
      </c>
      <c r="J7" s="37">
        <f>Calc_Survival!$C$7</f>
        <v>0.36399999999999999</v>
      </c>
      <c r="K7" s="46">
        <f t="shared" si="2"/>
        <v>0.14559999999999995</v>
      </c>
      <c r="L7" s="47">
        <f>IFERROR(1/(1+Scenarios!$E$9)^D7,0)</f>
        <v>0.6503965983678085</v>
      </c>
      <c r="M7" s="46">
        <f t="shared" si="3"/>
        <v>9.4697744722352886E-2</v>
      </c>
      <c r="N7" s="46">
        <f t="shared" si="4"/>
        <v>0.89999999999999991</v>
      </c>
    </row>
    <row r="8" spans="1:14" x14ac:dyDescent="0.25">
      <c r="A8" s="2" t="str">
        <f>Inputs!$A$44</f>
        <v>Western Plains 5MW BESS (illustrative)</v>
      </c>
      <c r="B8" s="41" t="str">
        <f>Inputs!$B$44</f>
        <v>VIC</v>
      </c>
      <c r="C8" s="42">
        <f>Inputs!$D$44</f>
        <v>5</v>
      </c>
      <c r="D8" s="43">
        <f>Inputs!$G$44</f>
        <v>2</v>
      </c>
      <c r="E8" s="44">
        <f>IFERROR(INDEX(Inputs!$C$30:$C$32,MATCH(B8,Inputs!$A$30:$A$32,0)),0)</f>
        <v>0.18</v>
      </c>
      <c r="F8" s="45">
        <f>Scenarios!$E$6</f>
        <v>1</v>
      </c>
      <c r="G8" s="46">
        <f t="shared" si="0"/>
        <v>0.89999999999999991</v>
      </c>
      <c r="H8" s="46">
        <f>Inputs!$C$21*Scenarios!$E$7</f>
        <v>0.5</v>
      </c>
      <c r="I8" s="46">
        <f t="shared" si="1"/>
        <v>0.39999999999999991</v>
      </c>
      <c r="J8" s="37">
        <f>Calc_Survival!$C$7</f>
        <v>0.36399999999999999</v>
      </c>
      <c r="K8" s="46">
        <f t="shared" si="2"/>
        <v>0.14559999999999995</v>
      </c>
      <c r="L8" s="47">
        <f>IFERROR(1/(1+Scenarios!$E$9)^D8,0)</f>
        <v>0.70883084696113385</v>
      </c>
      <c r="M8" s="46">
        <f t="shared" si="3"/>
        <v>0.10320577131754105</v>
      </c>
      <c r="N8" s="46">
        <f t="shared" si="4"/>
        <v>0.89999999999999991</v>
      </c>
    </row>
    <row r="9" spans="1:14" x14ac:dyDescent="0.25">
      <c r="A9" s="2" t="str">
        <f>Inputs!$A$45</f>
        <v>Mid-North 5MW BESS (illustrative)</v>
      </c>
      <c r="B9" s="41" t="str">
        <f>Inputs!$B$45</f>
        <v>SA</v>
      </c>
      <c r="C9" s="42">
        <f>Inputs!$D$45</f>
        <v>5</v>
      </c>
      <c r="D9" s="43">
        <f>Inputs!$G$45</f>
        <v>2.5</v>
      </c>
      <c r="E9" s="44">
        <f>IFERROR(INDEX(Inputs!$C$30:$C$32,MATCH(B9,Inputs!$A$30:$A$32,0)),0)</f>
        <v>0.12</v>
      </c>
      <c r="F9" s="45">
        <f>Scenarios!$E$6</f>
        <v>1</v>
      </c>
      <c r="G9" s="46">
        <f t="shared" si="0"/>
        <v>0.6</v>
      </c>
      <c r="H9" s="46">
        <f>Inputs!$C$21*Scenarios!$E$7</f>
        <v>0.5</v>
      </c>
      <c r="I9" s="46">
        <f t="shared" si="1"/>
        <v>9.9999999999999978E-2</v>
      </c>
      <c r="J9" s="37">
        <f>Calc_Survival!$C$7</f>
        <v>0.36399999999999999</v>
      </c>
      <c r="K9" s="46">
        <f t="shared" si="2"/>
        <v>3.6399999999999988E-2</v>
      </c>
      <c r="L9" s="47">
        <f>IFERROR(1/(1+Scenarios!$E$9)^D9,0)</f>
        <v>0.6503965983678085</v>
      </c>
      <c r="M9" s="46">
        <f t="shared" si="3"/>
        <v>2.3674436180588222E-2</v>
      </c>
      <c r="N9" s="46">
        <f t="shared" si="4"/>
        <v>0.6</v>
      </c>
    </row>
    <row r="10" spans="1:14" x14ac:dyDescent="0.25">
      <c r="A10" s="3" t="s">
        <v>232</v>
      </c>
      <c r="C10" s="48">
        <f>SUM(C4:C9)</f>
        <v>30</v>
      </c>
      <c r="G10" s="49">
        <f>SUM(G4:G9)</f>
        <v>5.3999999999999995</v>
      </c>
      <c r="H10" s="49">
        <f>SUM(H4:H9)</f>
        <v>3</v>
      </c>
      <c r="M10" s="49">
        <f>SUM(M4:M9)</f>
        <v>0.57757122056708166</v>
      </c>
    </row>
    <row r="11" spans="1:14" x14ac:dyDescent="0.25">
      <c r="A11" s="3" t="s">
        <v>233</v>
      </c>
      <c r="M11" s="50">
        <f>AVERAGE(Calc_Project_rNPV!$N$4:$N$9)</f>
        <v>0.89999999999999991</v>
      </c>
    </row>
  </sheetData>
  <hyperlinks>
    <hyperlink ref="J1" location="'Contents'!A1" display="↩ Contents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FF"/>
  </sheetPr>
  <dimension ref="A1:J29"/>
  <sheetViews>
    <sheetView showGridLines="0" workbookViewId="0">
      <pane ySplit="3" topLeftCell="A19" activePane="bottomLeft" state="frozen"/>
      <selection pane="bottomLeft"/>
    </sheetView>
  </sheetViews>
  <sheetFormatPr defaultRowHeight="15" x14ac:dyDescent="0.25"/>
  <cols>
    <col min="1" max="1" width="50" customWidth="1"/>
    <col min="2" max="2" width="4" customWidth="1"/>
    <col min="3" max="3" width="14" customWidth="1"/>
    <col min="4" max="6" width="10" customWidth="1"/>
  </cols>
  <sheetData>
    <row r="1" spans="1:10" ht="18" x14ac:dyDescent="0.25">
      <c r="A1" s="1" t="s">
        <v>234</v>
      </c>
      <c r="J1" s="2" t="s">
        <v>1</v>
      </c>
    </row>
    <row r="2" spans="1:10" ht="96" x14ac:dyDescent="0.25">
      <c r="A2" s="14" t="s">
        <v>235</v>
      </c>
    </row>
    <row r="4" spans="1:10" x14ac:dyDescent="0.25">
      <c r="A4" s="6" t="s">
        <v>236</v>
      </c>
    </row>
    <row r="5" spans="1:10" x14ac:dyDescent="0.25">
      <c r="A5" s="15" t="s">
        <v>237</v>
      </c>
      <c r="C5" s="37">
        <f>Calc_Survival!$C$7</f>
        <v>0.36399999999999999</v>
      </c>
    </row>
    <row r="6" spans="1:10" x14ac:dyDescent="0.25">
      <c r="A6" s="15" t="s">
        <v>107</v>
      </c>
      <c r="C6" s="42">
        <f>Inputs!$C$10</f>
        <v>35</v>
      </c>
    </row>
    <row r="7" spans="1:10" x14ac:dyDescent="0.25">
      <c r="A7" s="15" t="s">
        <v>238</v>
      </c>
      <c r="C7" s="51">
        <f>IFERROR(C6/C5,0)</f>
        <v>96.15384615384616</v>
      </c>
    </row>
    <row r="8" spans="1:10" x14ac:dyDescent="0.25">
      <c r="A8" s="15" t="s">
        <v>239</v>
      </c>
      <c r="C8" s="51">
        <f>C7-C6</f>
        <v>61.15384615384616</v>
      </c>
    </row>
    <row r="9" spans="1:10" x14ac:dyDescent="0.25">
      <c r="A9" s="15" t="s">
        <v>240</v>
      </c>
      <c r="C9" s="46">
        <f>Inputs!$C$21*Scenarios!$E$7</f>
        <v>0.5</v>
      </c>
    </row>
    <row r="10" spans="1:10" x14ac:dyDescent="0.25">
      <c r="A10" s="3" t="s">
        <v>241</v>
      </c>
      <c r="C10" s="52">
        <f>C6*C9+C8*Inputs!$C$22*C9</f>
        <v>26.673076923076923</v>
      </c>
    </row>
    <row r="11" spans="1:10" x14ac:dyDescent="0.25">
      <c r="A11" s="6" t="s">
        <v>242</v>
      </c>
    </row>
    <row r="12" spans="1:10" x14ac:dyDescent="0.25">
      <c r="A12" s="15" t="s">
        <v>243</v>
      </c>
      <c r="C12" s="46">
        <f>Calc_Project_rNPV!$M$11*Scenarios!$E$6</f>
        <v>0.89999999999999991</v>
      </c>
    </row>
    <row r="13" spans="1:10" x14ac:dyDescent="0.25">
      <c r="A13" s="3" t="s">
        <v>244</v>
      </c>
      <c r="C13" s="52">
        <f>C6*C12</f>
        <v>31.499999999999996</v>
      </c>
    </row>
    <row r="14" spans="1:10" x14ac:dyDescent="0.25">
      <c r="A14" s="3" t="s">
        <v>245</v>
      </c>
      <c r="C14" s="52">
        <f>C13-C10</f>
        <v>4.8269230769230731</v>
      </c>
    </row>
    <row r="15" spans="1:10" x14ac:dyDescent="0.25">
      <c r="A15" s="15" t="s">
        <v>246</v>
      </c>
      <c r="C15" s="46">
        <f>IFERROR(C14/Inputs!$C$11,0)</f>
        <v>1.6089743589743577</v>
      </c>
    </row>
    <row r="16" spans="1:10" x14ac:dyDescent="0.25">
      <c r="A16" s="6" t="s">
        <v>247</v>
      </c>
    </row>
    <row r="17" spans="1:3" x14ac:dyDescent="0.25">
      <c r="A17" s="15" t="s">
        <v>248</v>
      </c>
      <c r="C17" s="51">
        <f>AVERAGE(Calc_Project_rNPV!$D$4:$D$9)</f>
        <v>2.4166666666666665</v>
      </c>
    </row>
    <row r="18" spans="1:3" x14ac:dyDescent="0.25">
      <c r="A18" s="15" t="s">
        <v>249</v>
      </c>
      <c r="C18" s="47">
        <f>1/(1+Inputs!$C$7)^C17</f>
        <v>0.6597898838421431</v>
      </c>
    </row>
    <row r="19" spans="1:3" x14ac:dyDescent="0.25">
      <c r="A19" s="15" t="s">
        <v>250</v>
      </c>
      <c r="C19" s="46">
        <f>(Calc_Project_rNPV!$M$11*Scenarios!$E$6-C9)*C5*C18</f>
        <v>9.6065407087415997E-2</v>
      </c>
    </row>
    <row r="20" spans="1:3" x14ac:dyDescent="0.25">
      <c r="A20" s="15" t="s">
        <v>169</v>
      </c>
      <c r="C20" s="42">
        <f>Inputs!$C$48</f>
        <v>25</v>
      </c>
    </row>
    <row r="21" spans="1:3" x14ac:dyDescent="0.25">
      <c r="A21" s="3" t="s">
        <v>251</v>
      </c>
      <c r="C21" s="52">
        <f>C20*C19</f>
        <v>2.4016351771853999</v>
      </c>
    </row>
    <row r="22" spans="1:3" x14ac:dyDescent="0.25">
      <c r="A22" s="15" t="s">
        <v>252</v>
      </c>
      <c r="C22" s="52">
        <f>MAX(0,C14)*(1-Inputs!$C$49)</f>
        <v>4.8269230769230731</v>
      </c>
    </row>
    <row r="23" spans="1:3" x14ac:dyDescent="0.25">
      <c r="A23" s="15" t="s">
        <v>171</v>
      </c>
      <c r="C23" s="53">
        <f>Inputs!$C$50</f>
        <v>0</v>
      </c>
    </row>
    <row r="24" spans="1:3" x14ac:dyDescent="0.25">
      <c r="A24" s="3" t="s">
        <v>253</v>
      </c>
      <c r="C24" s="54">
        <f>MAX(0,C21+C22-C23)</f>
        <v>7.2285582541084725</v>
      </c>
    </row>
    <row r="25" spans="1:3" x14ac:dyDescent="0.25">
      <c r="A25" s="6" t="s">
        <v>254</v>
      </c>
    </row>
    <row r="26" spans="1:3" x14ac:dyDescent="0.25">
      <c r="A26" s="15" t="s">
        <v>255</v>
      </c>
      <c r="C26" s="52">
        <f>MAX(0,C15)*Inputs!$C$52+C22-C23</f>
        <v>9.6538461538461462</v>
      </c>
    </row>
    <row r="27" spans="1:3" x14ac:dyDescent="0.25">
      <c r="A27" s="15" t="s">
        <v>256</v>
      </c>
      <c r="C27" s="52">
        <f>MAX(0,C15)*Inputs!$C$53+C22-C23</f>
        <v>12.871794871794862</v>
      </c>
    </row>
    <row r="28" spans="1:3" x14ac:dyDescent="0.25">
      <c r="A28" s="15" t="s">
        <v>257</v>
      </c>
      <c r="C28" s="52">
        <f>MAX(0,C15)*Inputs!$C$54+C22-C23</f>
        <v>16.089743589743577</v>
      </c>
    </row>
    <row r="29" spans="1:3" ht="48" x14ac:dyDescent="0.25">
      <c r="A29" s="14" t="s">
        <v>258</v>
      </c>
    </row>
  </sheetData>
  <hyperlinks>
    <hyperlink ref="J1" location="'Contents'!A1" display="↩ Contents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J59"/>
  <sheetViews>
    <sheetView showGridLines="0" workbookViewId="0">
      <pane ySplit="3" topLeftCell="A22" activePane="bottomLeft" state="frozen"/>
      <selection pane="bottomLeft"/>
    </sheetView>
  </sheetViews>
  <sheetFormatPr defaultRowHeight="15" x14ac:dyDescent="0.25"/>
  <cols>
    <col min="1" max="1" width="40" customWidth="1"/>
    <col min="2" max="5" width="13" customWidth="1"/>
  </cols>
  <sheetData>
    <row r="1" spans="1:10" ht="18" x14ac:dyDescent="0.25">
      <c r="A1" s="1" t="s">
        <v>259</v>
      </c>
      <c r="J1" s="2" t="s">
        <v>1</v>
      </c>
    </row>
    <row r="2" spans="1:10" ht="132" x14ac:dyDescent="0.25">
      <c r="A2" s="14" t="s">
        <v>260</v>
      </c>
    </row>
    <row r="3" spans="1:10" x14ac:dyDescent="0.25">
      <c r="A3" s="6" t="s">
        <v>261</v>
      </c>
    </row>
    <row r="4" spans="1:10" x14ac:dyDescent="0.25">
      <c r="A4" s="15" t="s">
        <v>112</v>
      </c>
      <c r="B4" s="53">
        <f>Inputs!$C$13</f>
        <v>8</v>
      </c>
    </row>
    <row r="5" spans="1:10" x14ac:dyDescent="0.25">
      <c r="A5" s="15" t="s">
        <v>114</v>
      </c>
      <c r="B5" s="53">
        <f>Inputs!$C$14</f>
        <v>2</v>
      </c>
    </row>
    <row r="6" spans="1:10" x14ac:dyDescent="0.25">
      <c r="A6" s="3" t="s">
        <v>262</v>
      </c>
      <c r="B6" s="55">
        <f>B4+B5</f>
        <v>10</v>
      </c>
    </row>
    <row r="7" spans="1:10" x14ac:dyDescent="0.25">
      <c r="A7" s="3" t="s">
        <v>263</v>
      </c>
      <c r="B7" s="18">
        <f>IFERROR(B5/B6,0)</f>
        <v>0.2</v>
      </c>
    </row>
    <row r="8" spans="1:10" x14ac:dyDescent="0.25">
      <c r="A8" s="3" t="s">
        <v>264</v>
      </c>
      <c r="B8" s="39">
        <f>B7*(1-Inputs!$C$15)*(1-Inputs!$C$16)</f>
        <v>0.14400000000000002</v>
      </c>
    </row>
    <row r="10" spans="1:10" x14ac:dyDescent="0.25">
      <c r="A10" s="6" t="s">
        <v>265</v>
      </c>
    </row>
    <row r="11" spans="1:10" x14ac:dyDescent="0.25">
      <c r="A11" s="8" t="s">
        <v>266</v>
      </c>
      <c r="B11" s="8" t="s">
        <v>183</v>
      </c>
      <c r="C11" s="8" t="s">
        <v>184</v>
      </c>
      <c r="D11" s="8" t="s">
        <v>185</v>
      </c>
    </row>
    <row r="12" spans="1:10" x14ac:dyDescent="0.25">
      <c r="A12" s="15" t="s">
        <v>267</v>
      </c>
      <c r="B12" s="38">
        <f>Scenarios!$B$5*Inputs!$C$27*Inputs!$C$28</f>
        <v>0.22399999999999998</v>
      </c>
      <c r="C12" s="38">
        <f>Scenarios!$C$5*Inputs!$C$27*Inputs!$C$28</f>
        <v>0.36399999999999999</v>
      </c>
      <c r="D12" s="38">
        <f>Scenarios!$D$5*Inputs!$C$27*Inputs!$C$28</f>
        <v>0.44799999999999995</v>
      </c>
    </row>
    <row r="13" spans="1:10" x14ac:dyDescent="0.25">
      <c r="A13" s="15" t="s">
        <v>187</v>
      </c>
      <c r="B13" s="45">
        <f>Scenarios!$B$6</f>
        <v>0.85</v>
      </c>
      <c r="C13" s="45">
        <f>Scenarios!$C$6</f>
        <v>1</v>
      </c>
      <c r="D13" s="45">
        <f>Scenarios!$D$6</f>
        <v>1.1499999999999999</v>
      </c>
    </row>
    <row r="14" spans="1:10" x14ac:dyDescent="0.25">
      <c r="A14" s="15" t="s">
        <v>188</v>
      </c>
      <c r="B14" s="45">
        <f>Scenarios!$B$7</f>
        <v>1.05</v>
      </c>
      <c r="C14" s="45">
        <f>Scenarios!$C$7</f>
        <v>1</v>
      </c>
      <c r="D14" s="45">
        <f>Scenarios!$D$7</f>
        <v>0.97</v>
      </c>
    </row>
    <row r="15" spans="1:10" x14ac:dyDescent="0.25">
      <c r="A15" s="15" t="s">
        <v>268</v>
      </c>
      <c r="B15" s="46">
        <f>Inputs!$C$21*B14</f>
        <v>0.52500000000000002</v>
      </c>
      <c r="C15" s="46">
        <f>Inputs!$C$21*C14</f>
        <v>0.5</v>
      </c>
      <c r="D15" s="46">
        <f>Inputs!$C$21*D14</f>
        <v>0.48499999999999999</v>
      </c>
    </row>
    <row r="16" spans="1:10" x14ac:dyDescent="0.25">
      <c r="A16" s="15" t="s">
        <v>269</v>
      </c>
      <c r="B16" s="51">
        <f>IFERROR(Inputs!$C$10/B12,0)</f>
        <v>156.25000000000003</v>
      </c>
      <c r="C16" s="51">
        <f>IFERROR(Inputs!$C$10/C12,0)</f>
        <v>96.15384615384616</v>
      </c>
      <c r="D16" s="51">
        <f>IFERROR(Inputs!$C$10/D12,0)</f>
        <v>78.125000000000014</v>
      </c>
    </row>
    <row r="17" spans="1:4" x14ac:dyDescent="0.25">
      <c r="A17" s="15" t="s">
        <v>270</v>
      </c>
      <c r="B17" s="51">
        <f>B16-Inputs!$C$10</f>
        <v>121.25000000000003</v>
      </c>
      <c r="C17" s="51">
        <f>C16-Inputs!$C$10</f>
        <v>61.15384615384616</v>
      </c>
      <c r="D17" s="51">
        <f>D16-Inputs!$C$10</f>
        <v>43.125000000000014</v>
      </c>
    </row>
    <row r="18" spans="1:4" x14ac:dyDescent="0.25">
      <c r="A18" s="15" t="s">
        <v>271</v>
      </c>
      <c r="B18" s="52">
        <f>Inputs!$C$10*B15+B17*Inputs!$C$22*B15</f>
        <v>37.471875000000004</v>
      </c>
      <c r="C18" s="52">
        <f>Inputs!$C$10*C15+C17*Inputs!$C$22*C15</f>
        <v>26.673076923076923</v>
      </c>
      <c r="D18" s="52">
        <f>Inputs!$C$10*D15+D17*Inputs!$C$22*D15</f>
        <v>23.2496875</v>
      </c>
    </row>
    <row r="19" spans="1:4" x14ac:dyDescent="0.25">
      <c r="A19" s="15" t="s">
        <v>244</v>
      </c>
      <c r="B19" s="52">
        <f>Inputs!$C$10*Calc_Project_rNPV!$M$11*B13</f>
        <v>26.774999999999995</v>
      </c>
      <c r="C19" s="52">
        <f>Inputs!$C$10*Calc_Project_rNPV!$M$11*C13</f>
        <v>31.499999999999996</v>
      </c>
      <c r="D19" s="52">
        <f>Inputs!$C$10*Calc_Project_rNPV!$M$11*D13</f>
        <v>36.224999999999994</v>
      </c>
    </row>
    <row r="20" spans="1:4" x14ac:dyDescent="0.25">
      <c r="A20" s="15" t="s">
        <v>272</v>
      </c>
      <c r="B20" s="52">
        <f>B19-B18</f>
        <v>-10.696875000000009</v>
      </c>
      <c r="C20" s="52">
        <f>C19-C18</f>
        <v>4.8269230769230731</v>
      </c>
      <c r="D20" s="52">
        <f>D19-D18</f>
        <v>12.975312499999994</v>
      </c>
    </row>
    <row r="21" spans="1:4" x14ac:dyDescent="0.25">
      <c r="A21" s="15" t="s">
        <v>273</v>
      </c>
      <c r="B21" s="46">
        <f>Inputs!$C$48*(Calc_Project_rNPV!$M$11*B13-B15)*B12*Calc_Company!$C$18</f>
        <v>0.88675760388383984</v>
      </c>
      <c r="C21" s="46">
        <f>Inputs!$C$48*(Calc_Project_rNPV!$M$11*C13-C15)*C12*Calc_Company!$C$18</f>
        <v>2.4016351771854003</v>
      </c>
      <c r="D21" s="46">
        <f>Inputs!$C$48*(Calc_Project_rNPV!$M$11*D13-D15)*D12*Calc_Company!$C$18</f>
        <v>4.0643056844676</v>
      </c>
    </row>
    <row r="22" spans="1:4" x14ac:dyDescent="0.25">
      <c r="A22" s="15" t="s">
        <v>274</v>
      </c>
      <c r="B22" s="46">
        <f>MAX(0,B20)*(1-Inputs!$C$49)</f>
        <v>0</v>
      </c>
      <c r="C22" s="46">
        <f>MAX(0,C20)*(1-Inputs!$C$49)</f>
        <v>4.8269230769230731</v>
      </c>
      <c r="D22" s="46">
        <f>MAX(0,D20)*(1-Inputs!$C$49)</f>
        <v>12.975312499999994</v>
      </c>
    </row>
    <row r="23" spans="1:4" x14ac:dyDescent="0.25">
      <c r="A23" s="3" t="s">
        <v>275</v>
      </c>
      <c r="B23" s="55">
        <f>MAX(0,B21+B22-Inputs!$C$50)</f>
        <v>0.88675760388383984</v>
      </c>
      <c r="C23" s="55">
        <f>MAX(0,C21+C22-Inputs!$C$50)</f>
        <v>7.2285582541084734</v>
      </c>
      <c r="D23" s="55">
        <f>MAX(0,D21+D22-Inputs!$C$50)</f>
        <v>17.039618184467592</v>
      </c>
    </row>
    <row r="24" spans="1:4" x14ac:dyDescent="0.25">
      <c r="A24" s="15" t="s">
        <v>276</v>
      </c>
      <c r="B24" s="46">
        <f>Returns!$B$8*B23</f>
        <v>0.12769309495927295</v>
      </c>
      <c r="C24" s="46">
        <f>Returns!$B$8*C23</f>
        <v>1.0409123885916203</v>
      </c>
      <c r="D24" s="46">
        <f>Returns!$B$8*D23</f>
        <v>2.4537050185633338</v>
      </c>
    </row>
    <row r="25" spans="1:4" x14ac:dyDescent="0.25">
      <c r="A25" s="15" t="s">
        <v>277</v>
      </c>
      <c r="B25" s="46">
        <f>MIN(Inputs!$C$17*Inputs!$C$14,B23)</f>
        <v>0.88675760388383984</v>
      </c>
      <c r="C25" s="46">
        <f>MIN(Inputs!$C$17*Inputs!$C$14,C23)</f>
        <v>2</v>
      </c>
      <c r="D25" s="46">
        <f>MIN(Inputs!$C$17*Inputs!$C$14,D23)</f>
        <v>2</v>
      </c>
    </row>
    <row r="26" spans="1:4" x14ac:dyDescent="0.25">
      <c r="A26" s="3" t="s">
        <v>278</v>
      </c>
      <c r="B26" s="49">
        <f>MAX(B25,B24)</f>
        <v>0.88675760388383984</v>
      </c>
      <c r="C26" s="49">
        <f>MAX(C25,C24)</f>
        <v>2</v>
      </c>
      <c r="D26" s="49">
        <f>MAX(D25,D24)</f>
        <v>2.4537050185633338</v>
      </c>
    </row>
    <row r="27" spans="1:4" x14ac:dyDescent="0.25">
      <c r="A27" s="15" t="s">
        <v>279</v>
      </c>
      <c r="B27" s="46">
        <f>Returns!$B$8*Inputs!$C$49*MAX(0,B20)</f>
        <v>0</v>
      </c>
      <c r="C27" s="46">
        <f>Returns!$B$8*Inputs!$C$49*MAX(0,C20)</f>
        <v>0</v>
      </c>
      <c r="D27" s="46">
        <f>Returns!$B$8*Inputs!$C$49*MAX(0,D20)</f>
        <v>0</v>
      </c>
    </row>
    <row r="28" spans="1:4" x14ac:dyDescent="0.25">
      <c r="A28" s="3" t="s">
        <v>280</v>
      </c>
      <c r="B28" s="49">
        <f>B26+B27</f>
        <v>0.88675760388383984</v>
      </c>
      <c r="C28" s="49">
        <f>C26+C27</f>
        <v>2</v>
      </c>
      <c r="D28" s="49">
        <f>D26+D27</f>
        <v>2.4537050185633338</v>
      </c>
    </row>
    <row r="29" spans="1:4" x14ac:dyDescent="0.25">
      <c r="A29" s="3" t="s">
        <v>281</v>
      </c>
      <c r="B29" s="56">
        <f>IFERROR(B28/Inputs!$C$14,0)</f>
        <v>0.44337880194191992</v>
      </c>
      <c r="C29" s="56">
        <f>IFERROR(C28/Inputs!$C$14,0)</f>
        <v>1</v>
      </c>
      <c r="D29" s="56">
        <f>IFERROR(D28/Inputs!$C$14,0)</f>
        <v>1.2268525092816669</v>
      </c>
    </row>
    <row r="30" spans="1:4" x14ac:dyDescent="0.25">
      <c r="A30" s="3" t="s">
        <v>282</v>
      </c>
      <c r="B30" s="18">
        <f>IFERROR(B29^(1/Inputs!$C$18)-1,-1)</f>
        <v>-0.15012513517169512</v>
      </c>
      <c r="C30" s="18">
        <f>IFERROR(C29^(1/Inputs!$C$18)-1,-1)</f>
        <v>0</v>
      </c>
      <c r="D30" s="18">
        <f>IFERROR(D29^(1/Inputs!$C$18)-1,-1)</f>
        <v>4.173791526320092E-2</v>
      </c>
    </row>
    <row r="32" spans="1:4" x14ac:dyDescent="0.25">
      <c r="A32" s="6" t="s">
        <v>283</v>
      </c>
    </row>
    <row r="33" spans="1:5" x14ac:dyDescent="0.25">
      <c r="A33" s="8"/>
      <c r="B33" s="8" t="s">
        <v>183</v>
      </c>
      <c r="C33" s="8" t="s">
        <v>184</v>
      </c>
      <c r="D33" s="8" t="s">
        <v>185</v>
      </c>
      <c r="E33" s="8" t="s">
        <v>284</v>
      </c>
    </row>
    <row r="34" spans="1:5" x14ac:dyDescent="0.25">
      <c r="A34" s="15" t="s">
        <v>202</v>
      </c>
      <c r="B34" s="33">
        <f>Scenarios!$B$13</f>
        <v>0.3</v>
      </c>
      <c r="C34" s="33">
        <f>Scenarios!$C$13</f>
        <v>0.5</v>
      </c>
      <c r="D34" s="33">
        <f>Scenarios!$D$13</f>
        <v>0.2</v>
      </c>
    </row>
    <row r="35" spans="1:5" x14ac:dyDescent="0.25">
      <c r="A35" s="15" t="s">
        <v>285</v>
      </c>
      <c r="B35" s="57">
        <f>Returns!$B$28</f>
        <v>0.88675760388383984</v>
      </c>
      <c r="C35" s="57">
        <f>Returns!$C$28</f>
        <v>2</v>
      </c>
      <c r="D35" s="57">
        <f>Returns!$D$28</f>
        <v>2.4537050185633338</v>
      </c>
      <c r="E35" s="49">
        <f>SUMPRODUCT(Scenarios!$B$13:$D$13,B35:D35)</f>
        <v>1.7567682848778186</v>
      </c>
    </row>
    <row r="36" spans="1:5" x14ac:dyDescent="0.25">
      <c r="A36" s="3" t="s">
        <v>286</v>
      </c>
      <c r="E36" s="56">
        <f>IFERROR(E35/Inputs!$C$14,0)</f>
        <v>0.87838414243890928</v>
      </c>
    </row>
    <row r="37" spans="1:5" x14ac:dyDescent="0.25">
      <c r="A37" s="3" t="s">
        <v>287</v>
      </c>
      <c r="E37" s="39">
        <f>IFERROR(E36^(1/Inputs!$C$18)-1,-1)</f>
        <v>-2.5600847929589388E-2</v>
      </c>
    </row>
    <row r="39" spans="1:5" x14ac:dyDescent="0.25">
      <c r="A39" s="6" t="s">
        <v>288</v>
      </c>
      <c r="C39" s="10" t="s">
        <v>289</v>
      </c>
    </row>
    <row r="40" spans="1:5" x14ac:dyDescent="0.25">
      <c r="A40" s="15" t="s">
        <v>290</v>
      </c>
      <c r="C40" s="57">
        <f>Calc_Project_rNPV!$M$10</f>
        <v>0.57757122056708166</v>
      </c>
    </row>
    <row r="41" spans="1:5" x14ac:dyDescent="0.25">
      <c r="A41" s="15" t="s">
        <v>291</v>
      </c>
      <c r="C41" s="57">
        <f>Calc_CrossChecks!$C$9</f>
        <v>0.57639244252449606</v>
      </c>
    </row>
    <row r="42" spans="1:5" x14ac:dyDescent="0.25">
      <c r="A42" s="15" t="s">
        <v>292</v>
      </c>
      <c r="C42" s="57">
        <f>Calc_CrossChecks!$C$18</f>
        <v>0.44728319999999988</v>
      </c>
    </row>
    <row r="43" spans="1:5" x14ac:dyDescent="0.25">
      <c r="A43" s="3" t="s">
        <v>293</v>
      </c>
      <c r="C43" s="49">
        <f>MIN(C40:C42)</f>
        <v>0.44728319999999988</v>
      </c>
    </row>
    <row r="44" spans="1:5" x14ac:dyDescent="0.25">
      <c r="A44" s="3" t="s">
        <v>294</v>
      </c>
      <c r="C44" s="50">
        <f>AVERAGE(C40:C42)</f>
        <v>0.53374895436385916</v>
      </c>
    </row>
    <row r="45" spans="1:5" x14ac:dyDescent="0.25">
      <c r="A45" s="3" t="s">
        <v>295</v>
      </c>
      <c r="C45" s="49">
        <f>MAX(C40:C42)</f>
        <v>0.57757122056708166</v>
      </c>
    </row>
    <row r="47" spans="1:5" x14ac:dyDescent="0.25">
      <c r="A47" s="6" t="s">
        <v>296</v>
      </c>
    </row>
    <row r="48" spans="1:5" ht="25.5" x14ac:dyDescent="0.25">
      <c r="A48" s="8" t="s">
        <v>297</v>
      </c>
      <c r="B48" s="8" t="s">
        <v>298</v>
      </c>
      <c r="C48" s="8" t="s">
        <v>299</v>
      </c>
    </row>
    <row r="49" spans="1:3" x14ac:dyDescent="0.25">
      <c r="A49" s="15" t="s">
        <v>300</v>
      </c>
      <c r="B49" s="38">
        <f>1-Returns!$B$7</f>
        <v>0.8</v>
      </c>
      <c r="C49" s="38">
        <f>(1-Returns!$B$7)*(1-Inputs!$C$15)*(1-Inputs!$C$16)</f>
        <v>0.57600000000000007</v>
      </c>
    </row>
    <row r="50" spans="1:3" x14ac:dyDescent="0.25">
      <c r="A50" s="3" t="s">
        <v>301</v>
      </c>
      <c r="B50" s="37">
        <f>Returns!$B$7</f>
        <v>0.2</v>
      </c>
      <c r="C50" s="58">
        <f>Returns!$B$8</f>
        <v>0.14400000000000002</v>
      </c>
    </row>
    <row r="51" spans="1:3" x14ac:dyDescent="0.25">
      <c r="A51" s="15" t="s">
        <v>302</v>
      </c>
      <c r="B51" s="38">
        <v>0</v>
      </c>
      <c r="C51" s="38">
        <f>Inputs!$C$15*(1-Inputs!$C$16)</f>
        <v>8.0000000000000016E-2</v>
      </c>
    </row>
    <row r="52" spans="1:3" x14ac:dyDescent="0.25">
      <c r="A52" s="15" t="s">
        <v>303</v>
      </c>
      <c r="B52" s="38">
        <v>0</v>
      </c>
      <c r="C52" s="37">
        <f>Inputs!$C$16</f>
        <v>0.2</v>
      </c>
    </row>
    <row r="53" spans="1:3" x14ac:dyDescent="0.25">
      <c r="A53" s="3" t="s">
        <v>304</v>
      </c>
      <c r="B53" s="18">
        <f>SUM(B49:B52)</f>
        <v>1</v>
      </c>
      <c r="C53" s="18">
        <f>SUM(C49:C52)</f>
        <v>1</v>
      </c>
    </row>
    <row r="55" spans="1:3" x14ac:dyDescent="0.25">
      <c r="A55" s="6" t="s">
        <v>305</v>
      </c>
    </row>
    <row r="56" spans="1:3" x14ac:dyDescent="0.25">
      <c r="A56" s="15" t="s">
        <v>306</v>
      </c>
      <c r="C56" s="57">
        <f>Returns!$C$23</f>
        <v>7.2285582541084734</v>
      </c>
    </row>
    <row r="57" spans="1:3" x14ac:dyDescent="0.25">
      <c r="A57" s="3" t="s">
        <v>307</v>
      </c>
      <c r="C57" s="57">
        <f>Returns!$C$26</f>
        <v>2</v>
      </c>
    </row>
    <row r="58" spans="1:3" x14ac:dyDescent="0.25">
      <c r="A58" s="15" t="s">
        <v>308</v>
      </c>
      <c r="C58" s="46">
        <f>C56-C57</f>
        <v>5.2285582541084734</v>
      </c>
    </row>
    <row r="59" spans="1:3" x14ac:dyDescent="0.25">
      <c r="A59" s="3" t="s">
        <v>309</v>
      </c>
      <c r="C59" s="49">
        <f>C57+C58</f>
        <v>7.2285582541084734</v>
      </c>
    </row>
  </sheetData>
  <hyperlinks>
    <hyperlink ref="J1" location="'Contents'!A1" display="↩ Contents" xr:uid="{00000000-0004-0000-0900-000000000000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FF"/>
  </sheetPr>
  <dimension ref="A1:J25"/>
  <sheetViews>
    <sheetView showGridLines="0" workbookViewId="0">
      <pane ySplit="3" topLeftCell="A10" activePane="bottomLeft" state="frozen"/>
      <selection pane="bottomLeft" activeCell="G11" sqref="G11"/>
    </sheetView>
  </sheetViews>
  <sheetFormatPr defaultRowHeight="15" x14ac:dyDescent="0.25"/>
  <cols>
    <col min="1" max="1" width="42" customWidth="1"/>
    <col min="2" max="2" width="4" customWidth="1"/>
    <col min="3" max="3" width="16" customWidth="1"/>
    <col min="4" max="5" width="14" customWidth="1"/>
  </cols>
  <sheetData>
    <row r="1" spans="1:10" ht="18" x14ac:dyDescent="0.25">
      <c r="A1" s="1" t="s">
        <v>310</v>
      </c>
      <c r="J1" s="2" t="s">
        <v>1</v>
      </c>
    </row>
    <row r="2" spans="1:10" ht="36" x14ac:dyDescent="0.25">
      <c r="A2" s="14" t="s">
        <v>311</v>
      </c>
    </row>
    <row r="3" spans="1:10" x14ac:dyDescent="0.25">
      <c r="A3" s="6" t="s">
        <v>312</v>
      </c>
    </row>
    <row r="4" spans="1:10" x14ac:dyDescent="0.25">
      <c r="A4" s="15" t="s">
        <v>313</v>
      </c>
      <c r="C4" s="26">
        <f>SUM(Calc_Project_rNPV!$C$4:$C$9)</f>
        <v>30</v>
      </c>
    </row>
    <row r="5" spans="1:10" x14ac:dyDescent="0.25">
      <c r="A5" s="15" t="s">
        <v>314</v>
      </c>
      <c r="C5" s="52">
        <f>SUMPRODUCT(Calc_Project_rNPV!$C$4:$C$9,Calc_Project_rNPV!$E$4:$E$9)*Scenarios!$C$6</f>
        <v>5.3999999999999995</v>
      </c>
    </row>
    <row r="6" spans="1:10" x14ac:dyDescent="0.25">
      <c r="A6" s="15" t="s">
        <v>315</v>
      </c>
      <c r="C6" s="52">
        <f>Inputs!$C$21*Scenarios!$C$7*COUNT(Calc_Project_rNPV!$C$4:$C$9)</f>
        <v>3</v>
      </c>
    </row>
    <row r="7" spans="1:10" x14ac:dyDescent="0.25">
      <c r="A7" s="15" t="s">
        <v>316</v>
      </c>
      <c r="C7" s="51">
        <f>AVERAGE(Calc_Project_rNPV!$D$4:$D$9)</f>
        <v>2.4166666666666665</v>
      </c>
    </row>
    <row r="8" spans="1:10" x14ac:dyDescent="0.25">
      <c r="A8" s="15" t="s">
        <v>317</v>
      </c>
      <c r="C8" s="38">
        <f>Scenarios!$C$5*Inputs!$C$27*Inputs!$C$28</f>
        <v>0.36399999999999999</v>
      </c>
    </row>
    <row r="9" spans="1:10" x14ac:dyDescent="0.25">
      <c r="A9" s="15" t="s">
        <v>318</v>
      </c>
      <c r="C9" s="49">
        <f>IFERROR((C5-C6)*C8/(1+Inputs!$C$7)^C7,0)</f>
        <v>0.57639244252449606</v>
      </c>
    </row>
    <row r="11" spans="1:10" x14ac:dyDescent="0.25">
      <c r="A11" s="6" t="s">
        <v>319</v>
      </c>
    </row>
    <row r="12" spans="1:10" x14ac:dyDescent="0.25">
      <c r="A12" s="15" t="s">
        <v>320</v>
      </c>
      <c r="C12" s="52">
        <f>SUMPRODUCT(Calc_Project_rNPV!$C$4:$C$9,Calc_Project_rNPV!$E$4:$E$9)*Scenarios!$C$6</f>
        <v>5.3999999999999995</v>
      </c>
    </row>
    <row r="13" spans="1:10" x14ac:dyDescent="0.25">
      <c r="A13" s="15" t="s">
        <v>315</v>
      </c>
      <c r="C13" s="52">
        <f>C6</f>
        <v>3</v>
      </c>
    </row>
    <row r="14" spans="1:10" x14ac:dyDescent="0.25">
      <c r="A14" s="15" t="s">
        <v>321</v>
      </c>
      <c r="C14" s="37">
        <f>C8</f>
        <v>0.36399999999999999</v>
      </c>
    </row>
    <row r="15" spans="1:10" x14ac:dyDescent="0.25">
      <c r="A15" s="15" t="s">
        <v>322</v>
      </c>
      <c r="C15" s="46">
        <f>C14*(C12-C13)</f>
        <v>0.87359999999999982</v>
      </c>
    </row>
    <row r="16" spans="1:10" x14ac:dyDescent="0.25">
      <c r="A16" s="15" t="s">
        <v>323</v>
      </c>
      <c r="C16" s="37">
        <f>Inputs!$C$34</f>
        <v>0.25</v>
      </c>
    </row>
    <row r="17" spans="1:4" x14ac:dyDescent="0.25">
      <c r="A17" s="15" t="s">
        <v>324</v>
      </c>
      <c r="C17" s="42">
        <f>Inputs!$C$11</f>
        <v>3</v>
      </c>
    </row>
    <row r="18" spans="1:4" x14ac:dyDescent="0.25">
      <c r="A18" s="15" t="s">
        <v>325</v>
      </c>
      <c r="C18" s="49">
        <f>IFERROR(C15/(1+C16)^C17,0)</f>
        <v>0.44728319999999988</v>
      </c>
    </row>
    <row r="20" spans="1:4" x14ac:dyDescent="0.25">
      <c r="A20" s="6" t="s">
        <v>326</v>
      </c>
    </row>
    <row r="21" spans="1:4" ht="63.75" x14ac:dyDescent="0.25">
      <c r="A21" s="8" t="s">
        <v>150</v>
      </c>
      <c r="B21" s="8" t="s">
        <v>222</v>
      </c>
      <c r="C21" s="8" t="s">
        <v>327</v>
      </c>
      <c r="D21" s="8" t="s">
        <v>328</v>
      </c>
    </row>
    <row r="22" spans="1:4" x14ac:dyDescent="0.25">
      <c r="A22" s="15" t="s">
        <v>139</v>
      </c>
      <c r="B22" s="59">
        <f>Inputs!$C$30</f>
        <v>0.2</v>
      </c>
      <c r="C22" s="59">
        <f>Inputs!$C$24</f>
        <v>1.8</v>
      </c>
      <c r="D22" s="38">
        <f>IFERROR(B22/C22,0)</f>
        <v>0.11111111111111112</v>
      </c>
    </row>
    <row r="23" spans="1:4" x14ac:dyDescent="0.25">
      <c r="A23" s="15" t="s">
        <v>141</v>
      </c>
      <c r="B23" s="59">
        <f>Inputs!$C$31</f>
        <v>0.18</v>
      </c>
      <c r="C23" s="59">
        <f>Inputs!$C$24</f>
        <v>1.8</v>
      </c>
      <c r="D23" s="38">
        <f>IFERROR(B23/C23,0)</f>
        <v>9.9999999999999992E-2</v>
      </c>
    </row>
    <row r="24" spans="1:4" x14ac:dyDescent="0.25">
      <c r="A24" s="15" t="s">
        <v>142</v>
      </c>
      <c r="B24" s="59">
        <f>Inputs!$C$32</f>
        <v>0.12</v>
      </c>
      <c r="C24" s="59">
        <f>Inputs!$C$24</f>
        <v>1.8</v>
      </c>
      <c r="D24" s="38">
        <f>IFERROR(B24/C24,0)</f>
        <v>6.6666666666666666E-2</v>
      </c>
    </row>
    <row r="25" spans="1:4" ht="24" x14ac:dyDescent="0.25">
      <c r="A25" s="14" t="s">
        <v>329</v>
      </c>
    </row>
  </sheetData>
  <hyperlinks>
    <hyperlink ref="J1" location="'Contents'!A1" display="↩ Contents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</sheetPr>
  <dimension ref="A1:V24"/>
  <sheetViews>
    <sheetView showGridLines="0" workbookViewId="0">
      <pane ySplit="3" topLeftCell="A4" activePane="bottomLeft" state="frozen"/>
      <selection pane="bottomLeft" activeCell="C17" sqref="C17"/>
    </sheetView>
  </sheetViews>
  <sheetFormatPr defaultRowHeight="15" x14ac:dyDescent="0.25"/>
  <cols>
    <col min="1" max="1" width="28" customWidth="1"/>
    <col min="2" max="2" width="11" customWidth="1"/>
    <col min="3" max="10" width="9" customWidth="1"/>
    <col min="11" max="11" width="3" customWidth="1"/>
    <col min="12" max="16" width="9" customWidth="1"/>
    <col min="17" max="17" width="3" customWidth="1"/>
    <col min="18" max="22" width="9" customWidth="1"/>
  </cols>
  <sheetData>
    <row r="1" spans="1:10" ht="18" x14ac:dyDescent="0.25">
      <c r="A1" s="1" t="s">
        <v>330</v>
      </c>
      <c r="J1" s="2" t="s">
        <v>1</v>
      </c>
    </row>
    <row r="2" spans="1:10" ht="228" x14ac:dyDescent="0.25">
      <c r="A2" s="14" t="s">
        <v>331</v>
      </c>
    </row>
    <row r="4" spans="1:10" x14ac:dyDescent="0.25">
      <c r="A4" s="15" t="s">
        <v>332</v>
      </c>
      <c r="B4" s="38">
        <f>Inputs!$C$27*Inputs!$C$28</f>
        <v>0.55999999999999994</v>
      </c>
    </row>
    <row r="5" spans="1:10" x14ac:dyDescent="0.25">
      <c r="A5" s="15" t="s">
        <v>333</v>
      </c>
      <c r="B5" s="37">
        <f>Returns!$B$8</f>
        <v>0.14400000000000002</v>
      </c>
    </row>
    <row r="6" spans="1:10" x14ac:dyDescent="0.25">
      <c r="A6" s="15" t="s">
        <v>334</v>
      </c>
      <c r="B6" s="42">
        <f>Inputs!$C$48</f>
        <v>25</v>
      </c>
    </row>
    <row r="7" spans="1:10" x14ac:dyDescent="0.25">
      <c r="A7" s="15" t="s">
        <v>335</v>
      </c>
      <c r="B7" s="46">
        <f>Inputs!$C$17*Inputs!$C$14</f>
        <v>2</v>
      </c>
    </row>
    <row r="8" spans="1:10" x14ac:dyDescent="0.25">
      <c r="A8" s="15" t="s">
        <v>336</v>
      </c>
      <c r="B8" s="57">
        <f>Inputs!$C$14</f>
        <v>2</v>
      </c>
    </row>
    <row r="9" spans="1:10" x14ac:dyDescent="0.25">
      <c r="A9" s="15" t="s">
        <v>337</v>
      </c>
      <c r="B9" s="42">
        <f>Inputs!$C$18</f>
        <v>5</v>
      </c>
    </row>
    <row r="10" spans="1:10" x14ac:dyDescent="0.25">
      <c r="A10" s="15" t="s">
        <v>338</v>
      </c>
      <c r="B10" s="57">
        <f>Calc_Project_rNPV!$M$11</f>
        <v>0.89999999999999991</v>
      </c>
    </row>
    <row r="11" spans="1:10" x14ac:dyDescent="0.25">
      <c r="A11" s="15" t="s">
        <v>339</v>
      </c>
      <c r="B11" s="57">
        <f>Inputs!$C$21</f>
        <v>0.5</v>
      </c>
    </row>
    <row r="12" spans="1:10" x14ac:dyDescent="0.25">
      <c r="A12" s="15" t="s">
        <v>340</v>
      </c>
      <c r="B12" s="60">
        <f>Calc_Company!$C$18</f>
        <v>0.6597898838421431</v>
      </c>
    </row>
    <row r="13" spans="1:10" x14ac:dyDescent="0.25">
      <c r="A13" s="15" t="s">
        <v>341</v>
      </c>
      <c r="B13" s="38">
        <f>1-Inputs!$C$49</f>
        <v>1</v>
      </c>
    </row>
    <row r="14" spans="1:10" x14ac:dyDescent="0.25">
      <c r="A14" s="15" t="s">
        <v>342</v>
      </c>
      <c r="B14" s="57">
        <f>Inputs!$C$50</f>
        <v>0</v>
      </c>
    </row>
    <row r="17" spans="2:22" x14ac:dyDescent="0.25">
      <c r="B17" s="61" t="s">
        <v>343</v>
      </c>
      <c r="C17" s="28">
        <v>0.7</v>
      </c>
      <c r="D17" s="28">
        <v>0.85</v>
      </c>
      <c r="E17" s="28">
        <v>1</v>
      </c>
      <c r="F17" s="28">
        <v>1.1499999999999999</v>
      </c>
      <c r="G17" s="28">
        <v>1.3</v>
      </c>
    </row>
    <row r="18" spans="2:22" x14ac:dyDescent="0.25">
      <c r="B18" s="61" t="s">
        <v>344</v>
      </c>
      <c r="C18" s="62">
        <f>Inputs!$C$10*Calc_Project_rNPV!$M$11*C17</f>
        <v>22.049999999999997</v>
      </c>
      <c r="D18" s="62">
        <f>Inputs!$C$10*Calc_Project_rNPV!$M$11*D17</f>
        <v>26.774999999999995</v>
      </c>
      <c r="E18" s="62">
        <f>Inputs!$C$10*Calc_Project_rNPV!$M$11*E17</f>
        <v>31.499999999999996</v>
      </c>
      <c r="F18" s="62">
        <f>Inputs!$C$10*Calc_Project_rNPV!$M$11*F17</f>
        <v>36.224999999999994</v>
      </c>
      <c r="G18" s="62">
        <f>Inputs!$C$10*Calc_Project_rNPV!$M$11*G17</f>
        <v>40.949999999999996</v>
      </c>
    </row>
    <row r="19" spans="2:22" ht="25.5" x14ac:dyDescent="0.25">
      <c r="B19" s="63" t="s">
        <v>345</v>
      </c>
      <c r="C19" s="63" t="s">
        <v>346</v>
      </c>
      <c r="D19" s="63" t="s">
        <v>346</v>
      </c>
      <c r="E19" s="63" t="s">
        <v>346</v>
      </c>
      <c r="F19" s="63" t="s">
        <v>346</v>
      </c>
      <c r="G19" s="63" t="s">
        <v>346</v>
      </c>
      <c r="H19" s="8" t="s">
        <v>347</v>
      </c>
      <c r="I19" s="8" t="s">
        <v>348</v>
      </c>
      <c r="J19" s="8" t="s">
        <v>349</v>
      </c>
      <c r="L19" s="8" t="s">
        <v>350</v>
      </c>
      <c r="M19" s="8" t="s">
        <v>350</v>
      </c>
      <c r="N19" s="8" t="s">
        <v>350</v>
      </c>
      <c r="O19" s="8" t="s">
        <v>350</v>
      </c>
      <c r="P19" s="8" t="s">
        <v>350</v>
      </c>
      <c r="R19" s="8" t="s">
        <v>351</v>
      </c>
      <c r="S19" s="8" t="s">
        <v>351</v>
      </c>
      <c r="T19" s="8" t="s">
        <v>351</v>
      </c>
      <c r="U19" s="8" t="s">
        <v>351</v>
      </c>
      <c r="V19" s="8" t="s">
        <v>351</v>
      </c>
    </row>
    <row r="20" spans="2:22" x14ac:dyDescent="0.25">
      <c r="B20" s="25">
        <v>0.4</v>
      </c>
      <c r="C20" s="38">
        <f t="shared" ref="C20:G24" si="0">IFERROR((R20/$B$8)^(1/$B$9)-1,-1)</f>
        <v>-0.24820158246941804</v>
      </c>
      <c r="D20" s="38">
        <f t="shared" si="0"/>
        <v>-0.13311415510273861</v>
      </c>
      <c r="E20" s="38">
        <f t="shared" si="0"/>
        <v>-5.8707203743479486E-2</v>
      </c>
      <c r="F20" s="38">
        <f t="shared" si="0"/>
        <v>0</v>
      </c>
      <c r="G20" s="38">
        <f t="shared" si="0"/>
        <v>0</v>
      </c>
      <c r="H20" s="38">
        <f>$B20*$B$4</f>
        <v>0.22399999999999998</v>
      </c>
      <c r="I20" s="51">
        <f>IFERROR(Inputs!$C$10/H20,0)</f>
        <v>156.25000000000003</v>
      </c>
      <c r="J20" s="52">
        <f>Inputs!$C$21*(Inputs!$C$10+(I20-Inputs!$C$10)*Inputs!$C$22)</f>
        <v>35.6875</v>
      </c>
      <c r="L20" s="46">
        <f t="shared" ref="L20:P24" si="1">MAX(0,$B$6*($B$10*C$17-$B$11)*$H20*$B$12+MAX(0,C$18-$J20)*$B$13-$B$14)</f>
        <v>0.48032703543707972</v>
      </c>
      <c r="M20" s="46">
        <f t="shared" si="1"/>
        <v>0.97912818762173992</v>
      </c>
      <c r="N20" s="46">
        <f t="shared" si="1"/>
        <v>1.4779293398064002</v>
      </c>
      <c r="O20" s="46">
        <f t="shared" si="1"/>
        <v>2.5142304919910545</v>
      </c>
      <c r="P20" s="46">
        <f t="shared" si="1"/>
        <v>7.7380316441757167</v>
      </c>
      <c r="R20" s="46">
        <f t="shared" ref="R20:V24" si="2">MAX(MIN($B$7,L20),$B$5*L20)</f>
        <v>0.48032703543707972</v>
      </c>
      <c r="S20" s="46">
        <f t="shared" si="2"/>
        <v>0.97912818762173992</v>
      </c>
      <c r="T20" s="46">
        <f t="shared" si="2"/>
        <v>1.4779293398064002</v>
      </c>
      <c r="U20" s="46">
        <f t="shared" si="2"/>
        <v>2</v>
      </c>
      <c r="V20" s="46">
        <f t="shared" si="2"/>
        <v>2</v>
      </c>
    </row>
    <row r="21" spans="2:22" x14ac:dyDescent="0.25">
      <c r="B21" s="25">
        <v>0.55000000000000004</v>
      </c>
      <c r="C21" s="38">
        <f t="shared" si="0"/>
        <v>-0.19876124609841972</v>
      </c>
      <c r="D21" s="38">
        <f t="shared" si="0"/>
        <v>-7.6105352254022485E-2</v>
      </c>
      <c r="E21" s="38">
        <f t="shared" si="0"/>
        <v>0</v>
      </c>
      <c r="F21" s="38">
        <f t="shared" si="0"/>
        <v>0</v>
      </c>
      <c r="G21" s="38">
        <f t="shared" si="0"/>
        <v>1.6300814373870987E-2</v>
      </c>
      <c r="H21" s="38">
        <f>$B21*$B$4</f>
        <v>0.308</v>
      </c>
      <c r="I21" s="51">
        <f>IFERROR(Inputs!$C$10/H21,0)</f>
        <v>113.63636363636364</v>
      </c>
      <c r="J21" s="52">
        <f>Inputs!$C$21*(Inputs!$C$10+(I21-Inputs!$C$10)*Inputs!$C$22)</f>
        <v>29.295454545454547</v>
      </c>
      <c r="L21" s="46">
        <f t="shared" si="1"/>
        <v>0.66044967372598473</v>
      </c>
      <c r="M21" s="46">
        <f t="shared" si="1"/>
        <v>1.3463012579798925</v>
      </c>
      <c r="N21" s="46">
        <f t="shared" si="1"/>
        <v>4.2366982967792506</v>
      </c>
      <c r="O21" s="46">
        <f t="shared" si="1"/>
        <v>9.6475498810331555</v>
      </c>
      <c r="P21" s="46">
        <f t="shared" si="1"/>
        <v>15.058401465287066</v>
      </c>
      <c r="R21" s="46">
        <f t="shared" si="2"/>
        <v>0.66044967372598473</v>
      </c>
      <c r="S21" s="46">
        <f t="shared" si="2"/>
        <v>1.3463012579798925</v>
      </c>
      <c r="T21" s="46">
        <f t="shared" si="2"/>
        <v>2</v>
      </c>
      <c r="U21" s="46">
        <f t="shared" si="2"/>
        <v>2</v>
      </c>
      <c r="V21" s="46">
        <f t="shared" si="2"/>
        <v>2.1684098110013377</v>
      </c>
    </row>
    <row r="22" spans="2:22" x14ac:dyDescent="0.25">
      <c r="B22" s="25">
        <v>0.65</v>
      </c>
      <c r="C22" s="38">
        <f t="shared" si="0"/>
        <v>-0.17153897792843609</v>
      </c>
      <c r="D22" s="38">
        <f t="shared" si="0"/>
        <v>-3.2778994022047647E-2</v>
      </c>
      <c r="E22" s="38">
        <f t="shared" si="0"/>
        <v>0</v>
      </c>
      <c r="F22" s="38">
        <f t="shared" si="0"/>
        <v>0</v>
      </c>
      <c r="G22" s="38">
        <f t="shared" si="0"/>
        <v>5.670828611818135E-2</v>
      </c>
      <c r="H22" s="38">
        <f>$B22*$B$4</f>
        <v>0.36399999999999999</v>
      </c>
      <c r="I22" s="51">
        <f>IFERROR(Inputs!$C$10/H22,0)</f>
        <v>96.15384615384616</v>
      </c>
      <c r="J22" s="52">
        <f>Inputs!$C$21*(Inputs!$C$10+(I22-Inputs!$C$10)*Inputs!$C$22)</f>
        <v>26.673076923076923</v>
      </c>
      <c r="L22" s="46">
        <f t="shared" si="1"/>
        <v>0.78053143258525459</v>
      </c>
      <c r="M22" s="46">
        <f t="shared" si="1"/>
        <v>1.6930063818083989</v>
      </c>
      <c r="N22" s="46">
        <f t="shared" si="1"/>
        <v>7.2285582541084734</v>
      </c>
      <c r="O22" s="46">
        <f t="shared" si="1"/>
        <v>12.764110126408545</v>
      </c>
      <c r="P22" s="46">
        <f t="shared" si="1"/>
        <v>18.299661998708618</v>
      </c>
      <c r="R22" s="46">
        <f t="shared" si="2"/>
        <v>0.78053143258525459</v>
      </c>
      <c r="S22" s="46">
        <f t="shared" si="2"/>
        <v>1.6930063818083989</v>
      </c>
      <c r="T22" s="46">
        <f t="shared" si="2"/>
        <v>2</v>
      </c>
      <c r="U22" s="46">
        <f t="shared" si="2"/>
        <v>2</v>
      </c>
      <c r="V22" s="46">
        <f t="shared" si="2"/>
        <v>2.6351513278140413</v>
      </c>
    </row>
    <row r="23" spans="2:22" x14ac:dyDescent="0.25">
      <c r="B23" s="25">
        <v>0.8</v>
      </c>
      <c r="C23" s="38">
        <f t="shared" si="0"/>
        <v>-0.13641039449324643</v>
      </c>
      <c r="D23" s="38">
        <f t="shared" si="0"/>
        <v>0</v>
      </c>
      <c r="E23" s="38">
        <f t="shared" si="0"/>
        <v>0</v>
      </c>
      <c r="F23" s="38">
        <f t="shared" si="0"/>
        <v>3.1386763707896392E-2</v>
      </c>
      <c r="G23" s="38">
        <f t="shared" si="0"/>
        <v>9.5679124891655976E-2</v>
      </c>
      <c r="H23" s="38">
        <f>$B23*$B$4</f>
        <v>0.44799999999999995</v>
      </c>
      <c r="I23" s="51">
        <f>IFERROR(Inputs!$C$10/H23,0)</f>
        <v>78.125000000000014</v>
      </c>
      <c r="J23" s="52">
        <f>Inputs!$C$21*(Inputs!$C$10+(I23-Inputs!$C$10)*Inputs!$C$22)</f>
        <v>23.96875</v>
      </c>
      <c r="L23" s="46">
        <f t="shared" si="1"/>
        <v>0.96065407087415944</v>
      </c>
      <c r="M23" s="46">
        <f t="shared" si="1"/>
        <v>4.7645063752434744</v>
      </c>
      <c r="N23" s="46">
        <f t="shared" si="1"/>
        <v>10.487108679612797</v>
      </c>
      <c r="O23" s="46">
        <f t="shared" si="1"/>
        <v>16.209710983982113</v>
      </c>
      <c r="P23" s="46">
        <f t="shared" si="1"/>
        <v>21.932313288351438</v>
      </c>
      <c r="R23" s="46">
        <f t="shared" si="2"/>
        <v>0.96065407087415944</v>
      </c>
      <c r="S23" s="46">
        <f t="shared" si="2"/>
        <v>2</v>
      </c>
      <c r="T23" s="46">
        <f t="shared" si="2"/>
        <v>2</v>
      </c>
      <c r="U23" s="46">
        <f t="shared" si="2"/>
        <v>2.3341983816934246</v>
      </c>
      <c r="V23" s="46">
        <f t="shared" si="2"/>
        <v>3.1582531135226075</v>
      </c>
    </row>
    <row r="24" spans="2:22" x14ac:dyDescent="0.25">
      <c r="B24" s="25">
        <v>0.95</v>
      </c>
      <c r="C24" s="38">
        <f t="shared" si="0"/>
        <v>-0.10621280161052915</v>
      </c>
      <c r="D24" s="38">
        <f t="shared" si="0"/>
        <v>0</v>
      </c>
      <c r="E24" s="38">
        <f t="shared" si="0"/>
        <v>0</v>
      </c>
      <c r="F24" s="38">
        <f t="shared" si="0"/>
        <v>6.243932975796751E-2</v>
      </c>
      <c r="G24" s="38">
        <f t="shared" si="0"/>
        <v>0.12213328841714155</v>
      </c>
      <c r="H24" s="38">
        <f>$B24*$B$4</f>
        <v>0.53199999999999992</v>
      </c>
      <c r="I24" s="51">
        <f>IFERROR(Inputs!$C$10/H24,0)</f>
        <v>65.789473684210535</v>
      </c>
      <c r="J24" s="52">
        <f>Inputs!$C$21*(Inputs!$C$10+(I24-Inputs!$C$10)*Inputs!$C$22)</f>
        <v>22.118421052631579</v>
      </c>
      <c r="L24" s="46">
        <f t="shared" si="1"/>
        <v>1.1407767091630643</v>
      </c>
      <c r="M24" s="46">
        <f t="shared" si="1"/>
        <v>6.982008392970048</v>
      </c>
      <c r="N24" s="46">
        <f t="shared" si="1"/>
        <v>12.891661129408618</v>
      </c>
      <c r="O24" s="46">
        <f t="shared" si="1"/>
        <v>18.801313865847185</v>
      </c>
      <c r="P24" s="46">
        <f t="shared" si="1"/>
        <v>24.710966602285751</v>
      </c>
      <c r="R24" s="46">
        <f t="shared" si="2"/>
        <v>1.1407767091630643</v>
      </c>
      <c r="S24" s="46">
        <f t="shared" si="2"/>
        <v>2</v>
      </c>
      <c r="T24" s="46">
        <f t="shared" si="2"/>
        <v>2</v>
      </c>
      <c r="U24" s="46">
        <f t="shared" si="2"/>
        <v>2.7073891966819947</v>
      </c>
      <c r="V24" s="46">
        <f t="shared" si="2"/>
        <v>3.5583791907291484</v>
      </c>
    </row>
  </sheetData>
  <hyperlinks>
    <hyperlink ref="J1" location="'Contents'!A1" display="↩ Contents" xr:uid="{00000000-0004-0000-0B00-000000000000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J27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54" customWidth="1"/>
    <col min="2" max="2" width="12" customWidth="1"/>
    <col min="3" max="3" width="38" customWidth="1"/>
    <col min="4" max="4" width="4" customWidth="1"/>
    <col min="5" max="7" width="9" customWidth="1"/>
  </cols>
  <sheetData>
    <row r="1" spans="1:10" ht="18" x14ac:dyDescent="0.25">
      <c r="A1" s="1" t="s">
        <v>352</v>
      </c>
      <c r="J1" s="2" t="s">
        <v>1</v>
      </c>
    </row>
    <row r="3" spans="1:10" x14ac:dyDescent="0.25">
      <c r="A3" s="8" t="s">
        <v>353</v>
      </c>
      <c r="B3" s="8" t="s">
        <v>354</v>
      </c>
      <c r="C3" s="8" t="s">
        <v>355</v>
      </c>
    </row>
    <row r="4" spans="1:10" x14ac:dyDescent="0.25">
      <c r="A4" s="15" t="s">
        <v>356</v>
      </c>
      <c r="B4" s="40" t="str">
        <f>IF(AND(MIN(Inputs!$C$26:$C$28)&gt;=0,MAX(Inputs!$C$26:$C$28)&lt;=1),"OK","ERROR")</f>
        <v>OK</v>
      </c>
      <c r="C4" s="10" t="s">
        <v>357</v>
      </c>
    </row>
    <row r="5" spans="1:10" x14ac:dyDescent="0.25">
      <c r="A5" s="15" t="s">
        <v>358</v>
      </c>
      <c r="B5" s="40" t="str">
        <f>IF(Calc_Survival!$C$7&lt;=MIN(Calc_Survival!$B$4:$B$6)+0.000001,"OK","ERROR")</f>
        <v>OK</v>
      </c>
      <c r="C5" s="10" t="s">
        <v>359</v>
      </c>
    </row>
    <row r="6" spans="1:10" x14ac:dyDescent="0.25">
      <c r="A6" s="15" t="s">
        <v>360</v>
      </c>
      <c r="B6" s="40" t="str">
        <f>IF(MIN(Inputs!$D$40:$D$45)&gt;0,"OK","ERROR")</f>
        <v>OK</v>
      </c>
      <c r="C6" s="10" t="s">
        <v>361</v>
      </c>
    </row>
    <row r="7" spans="1:10" x14ac:dyDescent="0.25">
      <c r="A7" s="15" t="s">
        <v>362</v>
      </c>
      <c r="B7" s="40" t="str">
        <f>IF(MIN(Calc_Project_rNPV!$G$4:$G$9)&gt;0,"OK","ERROR")</f>
        <v>OK</v>
      </c>
      <c r="C7" s="10" t="s">
        <v>361</v>
      </c>
    </row>
    <row r="8" spans="1:10" x14ac:dyDescent="0.25">
      <c r="A8" s="15" t="s">
        <v>363</v>
      </c>
      <c r="B8" s="40" t="str">
        <f>IF(Inputs!$C$21&gt;0,"OK","ERROR")</f>
        <v>OK</v>
      </c>
      <c r="C8" s="10" t="s">
        <v>361</v>
      </c>
    </row>
    <row r="9" spans="1:10" x14ac:dyDescent="0.25">
      <c r="A9" s="15" t="s">
        <v>364</v>
      </c>
      <c r="B9" s="40" t="str">
        <f>IF(AND(Scenarios!$B$2&gt;=1,Scenarios!$B$2&lt;=3),"OK","ERROR")</f>
        <v>OK</v>
      </c>
      <c r="C9" s="10" t="s">
        <v>365</v>
      </c>
    </row>
    <row r="10" spans="1:10" x14ac:dyDescent="0.25">
      <c r="A10" s="15" t="s">
        <v>366</v>
      </c>
      <c r="B10" s="40" t="str">
        <f>IF(AND(Scenarios!$B$5&lt;=Scenarios!$C$5,Scenarios!$C$5&lt;=Scenarios!$D$5),"OK","ERROR")</f>
        <v>OK</v>
      </c>
      <c r="C10" s="10" t="s">
        <v>367</v>
      </c>
    </row>
    <row r="11" spans="1:10" x14ac:dyDescent="0.25">
      <c r="A11" s="15" t="s">
        <v>262</v>
      </c>
      <c r="B11" s="40" t="str">
        <f>IF(ABS(Returns!$B$6-(Inputs!$C$13+Inputs!$C$14))&lt;0.0001,"OK","ERROR")</f>
        <v>OK</v>
      </c>
      <c r="C11" s="10" t="s">
        <v>368</v>
      </c>
    </row>
    <row r="12" spans="1:10" x14ac:dyDescent="0.25">
      <c r="A12" s="15" t="s">
        <v>369</v>
      </c>
      <c r="B12" s="40" t="str">
        <f>IF(ABS(Returns!$B$7-Inputs!$C$14/Returns!$B$6)&lt;0.0001,"OK","ERROR")</f>
        <v>OK</v>
      </c>
      <c r="C12" s="10" t="s">
        <v>368</v>
      </c>
    </row>
    <row r="13" spans="1:10" x14ac:dyDescent="0.25">
      <c r="A13" s="15" t="s">
        <v>370</v>
      </c>
      <c r="B13" s="40" t="str">
        <f>IF(Returns!$B$8&lt;=Returns!$B$7+0.0001,"OK","ERROR")</f>
        <v>OK</v>
      </c>
      <c r="C13" s="10" t="s">
        <v>371</v>
      </c>
    </row>
    <row r="14" spans="1:10" x14ac:dyDescent="0.25">
      <c r="A14" s="15" t="s">
        <v>372</v>
      </c>
      <c r="B14" s="40" t="str">
        <f>IF(AND(Returns!$B$29&lt;=Returns!$C$29,Returns!$C$29&lt;=Returns!$D$29),"OK","ERROR")</f>
        <v>OK</v>
      </c>
      <c r="C14" s="10" t="s">
        <v>367</v>
      </c>
    </row>
    <row r="15" spans="1:10" x14ac:dyDescent="0.25">
      <c r="A15" s="15" t="s">
        <v>373</v>
      </c>
      <c r="B15" s="40" t="str">
        <f>IF(ABS(Scenarios!$E$13-1)&lt;0.001,"OK","ERROR")</f>
        <v>OK</v>
      </c>
      <c r="C15" s="10" t="s">
        <v>200</v>
      </c>
    </row>
    <row r="16" spans="1:10" x14ac:dyDescent="0.25">
      <c r="A16" s="15" t="s">
        <v>374</v>
      </c>
      <c r="B16" s="40" t="str">
        <f>IF(AND(G16&gt;=E16-0.0001,G16&lt;=F16+0.0001),"OK","ERROR")</f>
        <v>OK</v>
      </c>
      <c r="C16" s="10" t="s">
        <v>375</v>
      </c>
      <c r="E16" s="64">
        <f>MIN(Returns!$B$30:$D$30)</f>
        <v>-0.15012513517169512</v>
      </c>
      <c r="F16" s="64">
        <f>MAX(Returns!$B$30:$D$30)</f>
        <v>4.173791526320092E-2</v>
      </c>
      <c r="G16" s="33">
        <f>Returns!$E$37</f>
        <v>-2.5600847929589388E-2</v>
      </c>
    </row>
    <row r="17" spans="1:7" x14ac:dyDescent="0.25">
      <c r="A17" s="15" t="s">
        <v>376</v>
      </c>
      <c r="B17" s="40" t="str">
        <f>IF(MIN(Returns!$B$28:$D$28)&gt;=0,"OK","ERROR")</f>
        <v>OK</v>
      </c>
      <c r="C17" s="10" t="s">
        <v>361</v>
      </c>
    </row>
    <row r="18" spans="1:7" x14ac:dyDescent="0.25">
      <c r="A18" s="15" t="s">
        <v>377</v>
      </c>
      <c r="B18" s="40" t="str">
        <f>IF(SUM(E18:G18)=0,"OK","ERROR")</f>
        <v>OK</v>
      </c>
      <c r="C18" s="10" t="s">
        <v>378</v>
      </c>
      <c r="E18" s="40">
        <f>SUMPRODUCT(--ISERROR(Calc_Project_rNPV!$M$4:$M$10))</f>
        <v>0</v>
      </c>
      <c r="F18" s="40">
        <f>SUMPRODUCT(--ISERROR(Returns!$B$30:$D$30))</f>
        <v>0</v>
      </c>
      <c r="G18" s="40">
        <f>SUMPRODUCT(--ISERROR(Sensitivity!$C$20:$G$24))</f>
        <v>0</v>
      </c>
    </row>
    <row r="19" spans="1:7" x14ac:dyDescent="0.25">
      <c r="A19" s="15" t="s">
        <v>379</v>
      </c>
      <c r="B19" s="40" t="str">
        <f>IF(AND(ABS(Returns!$B$53-1)&lt;0.001,ABS(Returns!$C$53-1)&lt;0.001),"OK","ERROR")</f>
        <v>OK</v>
      </c>
      <c r="C19" s="10" t="s">
        <v>380</v>
      </c>
    </row>
    <row r="20" spans="1:7" x14ac:dyDescent="0.25">
      <c r="A20" s="15" t="s">
        <v>381</v>
      </c>
      <c r="B20" s="40" t="str">
        <f>IF(ABS(Returns!$C$59-Returns!$C$56)&lt;0.001,"OK","ERROR")</f>
        <v>OK</v>
      </c>
      <c r="C20" s="10" t="s">
        <v>382</v>
      </c>
    </row>
    <row r="21" spans="1:7" x14ac:dyDescent="0.25">
      <c r="A21" s="15" t="s">
        <v>383</v>
      </c>
      <c r="B21" s="40" t="str">
        <f>IF(Returns!$C$23&lt;=Returns!$C$21+Returns!$C$22+0.000001,"OK","ERROR")</f>
        <v>OK</v>
      </c>
      <c r="C21" s="10" t="s">
        <v>384</v>
      </c>
    </row>
    <row r="22" spans="1:7" x14ac:dyDescent="0.25">
      <c r="A22" s="15" t="s">
        <v>385</v>
      </c>
      <c r="B22" s="40" t="str">
        <f>IF(OR(AND(Inputs!$C$57=1,Inputs!$C$58=1),Inputs!$C$59=1),"OK","ERROR")</f>
        <v>OK</v>
      </c>
      <c r="C22" s="10" t="s">
        <v>386</v>
      </c>
    </row>
    <row r="24" spans="1:7" x14ac:dyDescent="0.25">
      <c r="A24" s="3" t="s">
        <v>13</v>
      </c>
      <c r="B24" s="65" t="str">
        <f>IF(COUNTIF(B4:B22,"ERROR")=0,"OK","ERROR")</f>
        <v>OK</v>
      </c>
    </row>
    <row r="26" spans="1:7" x14ac:dyDescent="0.25">
      <c r="A26" s="66" t="s">
        <v>387</v>
      </c>
      <c r="B26" s="67" t="str">
        <f>IF(AND(Inputs!$C$57=1,Inputs!$C$58=1),"Verified","UNVERIFIED — verify inputs")</f>
        <v>UNVERIFIED — verify inputs</v>
      </c>
    </row>
    <row r="27" spans="1:7" x14ac:dyDescent="0.25">
      <c r="A27" s="75" t="s">
        <v>388</v>
      </c>
      <c r="B27" s="73"/>
      <c r="C27" s="73"/>
      <c r="D27" s="73"/>
      <c r="E27" s="73"/>
      <c r="F27" s="73"/>
      <c r="G27" s="73"/>
    </row>
  </sheetData>
  <mergeCells count="1">
    <mergeCell ref="A27:G27"/>
  </mergeCells>
  <conditionalFormatting sqref="B4:B24">
    <cfRule type="cellIs" dxfId="15" priority="1" operator="equal">
      <formula>"OK"</formula>
    </cfRule>
    <cfRule type="cellIs" dxfId="14" priority="2" operator="equal">
      <formula>"ERROR"</formula>
    </cfRule>
  </conditionalFormatting>
  <hyperlinks>
    <hyperlink ref="J1" location="'Contents'!A1" display="↩ Contents" xr:uid="{00000000-0004-0000-0C00-000000000000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50"/>
  </sheetPr>
  <dimension ref="A1:J26"/>
  <sheetViews>
    <sheetView showGridLines="0" workbookViewId="0">
      <pane ySplit="1" topLeftCell="A2" activePane="bottomLeft" state="frozen"/>
      <selection pane="bottomLeft" activeCell="B15" sqref="B15"/>
    </sheetView>
  </sheetViews>
  <sheetFormatPr defaultRowHeight="15" x14ac:dyDescent="0.25"/>
  <cols>
    <col min="1" max="5" width="34.140625" customWidth="1"/>
  </cols>
  <sheetData>
    <row r="1" spans="1:10" ht="18" x14ac:dyDescent="0.25">
      <c r="A1" s="1" t="s">
        <v>389</v>
      </c>
      <c r="J1" s="2" t="s">
        <v>1</v>
      </c>
    </row>
    <row r="2" spans="1:10" ht="72" x14ac:dyDescent="0.25">
      <c r="A2" s="7" t="s">
        <v>390</v>
      </c>
    </row>
    <row r="4" spans="1:10" x14ac:dyDescent="0.25">
      <c r="A4" s="3" t="s">
        <v>12</v>
      </c>
      <c r="B4" s="5" t="str">
        <f>Scenarios!$B$3</f>
        <v>Base</v>
      </c>
      <c r="D4" s="3" t="s">
        <v>391</v>
      </c>
      <c r="E4" s="68" t="str">
        <f>Checks!$B$24</f>
        <v>OK</v>
      </c>
    </row>
    <row r="6" spans="1:10" x14ac:dyDescent="0.25">
      <c r="A6" s="6" t="s">
        <v>392</v>
      </c>
      <c r="D6" s="6" t="s">
        <v>393</v>
      </c>
    </row>
    <row r="7" spans="1:10" x14ac:dyDescent="0.25">
      <c r="A7" s="3" t="s">
        <v>394</v>
      </c>
      <c r="B7" s="36">
        <f>Returns!$E$37</f>
        <v>-2.5600847929589388E-2</v>
      </c>
      <c r="D7" s="15" t="s">
        <v>395</v>
      </c>
      <c r="E7" s="53">
        <f>Returns!$B$6</f>
        <v>10</v>
      </c>
    </row>
    <row r="8" spans="1:10" x14ac:dyDescent="0.25">
      <c r="A8" s="15" t="s">
        <v>396</v>
      </c>
      <c r="B8" s="69">
        <f>Returns!$E$36</f>
        <v>0.87838414243890928</v>
      </c>
      <c r="D8" s="15" t="s">
        <v>397</v>
      </c>
      <c r="E8" s="37">
        <f>Returns!$B$7</f>
        <v>0.2</v>
      </c>
    </row>
    <row r="9" spans="1:10" x14ac:dyDescent="0.25">
      <c r="D9" s="15" t="s">
        <v>264</v>
      </c>
      <c r="E9" s="37">
        <f>Returns!$B$8</f>
        <v>0.14400000000000002</v>
      </c>
    </row>
    <row r="10" spans="1:10" x14ac:dyDescent="0.25">
      <c r="D10" s="15" t="s">
        <v>117</v>
      </c>
      <c r="E10" s="69">
        <f>Inputs!$C$17</f>
        <v>1</v>
      </c>
    </row>
    <row r="11" spans="1:10" x14ac:dyDescent="0.25">
      <c r="D11" s="15" t="s">
        <v>337</v>
      </c>
      <c r="E11" s="42">
        <f>Inputs!$C$18</f>
        <v>5</v>
      </c>
    </row>
    <row r="13" spans="1:10" x14ac:dyDescent="0.25">
      <c r="A13" s="6" t="s">
        <v>398</v>
      </c>
      <c r="D13" s="6" t="s">
        <v>399</v>
      </c>
    </row>
    <row r="14" spans="1:10" ht="25.5" x14ac:dyDescent="0.25">
      <c r="A14" s="8" t="s">
        <v>400</v>
      </c>
      <c r="B14" s="8" t="s">
        <v>347</v>
      </c>
      <c r="C14" s="8" t="s">
        <v>401</v>
      </c>
      <c r="D14" s="70" t="s">
        <v>402</v>
      </c>
      <c r="E14" s="53">
        <f>Inputs!$C$9</f>
        <v>25</v>
      </c>
    </row>
    <row r="15" spans="1:10" x14ac:dyDescent="0.25">
      <c r="A15" s="15" t="s">
        <v>183</v>
      </c>
      <c r="B15" s="38">
        <f>Scenarios!$B$5*Inputs!$C$27*Inputs!$C$28</f>
        <v>0.22399999999999998</v>
      </c>
      <c r="C15" s="37">
        <f>Returns!$B$30</f>
        <v>-0.15012513517169512</v>
      </c>
      <c r="D15" s="71" t="s">
        <v>403</v>
      </c>
      <c r="E15" s="42">
        <f>Inputs!$C$10</f>
        <v>35</v>
      </c>
    </row>
    <row r="16" spans="1:10" x14ac:dyDescent="0.25">
      <c r="A16" s="15" t="s">
        <v>184</v>
      </c>
      <c r="B16" s="38">
        <f>Scenarios!$C$5*Inputs!$C$27*Inputs!$C$28</f>
        <v>0.36399999999999999</v>
      </c>
      <c r="C16" s="37">
        <f>Returns!$C$30</f>
        <v>0</v>
      </c>
      <c r="D16" s="71" t="s">
        <v>404</v>
      </c>
      <c r="E16" s="37">
        <f>Scenarios!$C$5</f>
        <v>0.65</v>
      </c>
    </row>
    <row r="17" spans="1:5" x14ac:dyDescent="0.25">
      <c r="A17" s="15" t="s">
        <v>185</v>
      </c>
      <c r="B17" s="38">
        <f>Scenarios!$D$5*Inputs!$C$27*Inputs!$C$28</f>
        <v>0.44799999999999995</v>
      </c>
      <c r="C17" s="37">
        <f>Returns!$D$30</f>
        <v>4.173791526320092E-2</v>
      </c>
      <c r="D17" s="71" t="s">
        <v>405</v>
      </c>
      <c r="E17" s="37">
        <f>Calc_Survival!$C$13</f>
        <v>0.36399999999999999</v>
      </c>
    </row>
    <row r="18" spans="1:5" x14ac:dyDescent="0.25">
      <c r="D18" s="15" t="s">
        <v>406</v>
      </c>
      <c r="E18" s="37">
        <f>Calc_Survival!$C$10</f>
        <v>0.44799999999999995</v>
      </c>
    </row>
    <row r="20" spans="1:5" x14ac:dyDescent="0.25">
      <c r="A20" s="6" t="s">
        <v>407</v>
      </c>
    </row>
    <row r="21" spans="1:5" x14ac:dyDescent="0.25">
      <c r="A21" s="75" t="s">
        <v>408</v>
      </c>
      <c r="B21" s="73"/>
      <c r="C21" s="73"/>
      <c r="D21" s="73"/>
      <c r="E21" s="73"/>
    </row>
    <row r="22" spans="1:5" x14ac:dyDescent="0.25">
      <c r="A22" s="73"/>
      <c r="B22" s="73"/>
      <c r="C22" s="73"/>
      <c r="D22" s="73"/>
      <c r="E22" s="73"/>
    </row>
    <row r="23" spans="1:5" x14ac:dyDescent="0.25">
      <c r="A23" s="73"/>
      <c r="B23" s="73"/>
      <c r="C23" s="73"/>
      <c r="D23" s="73"/>
      <c r="E23" s="73"/>
    </row>
    <row r="24" spans="1:5" x14ac:dyDescent="0.25">
      <c r="A24" s="73"/>
      <c r="B24" s="73"/>
      <c r="C24" s="73"/>
      <c r="D24" s="73"/>
      <c r="E24" s="73"/>
    </row>
    <row r="25" spans="1:5" x14ac:dyDescent="0.25">
      <c r="A25" s="73"/>
      <c r="B25" s="73"/>
      <c r="C25" s="73"/>
      <c r="D25" s="73"/>
      <c r="E25" s="73"/>
    </row>
    <row r="26" spans="1:5" x14ac:dyDescent="0.25">
      <c r="A26" s="73"/>
      <c r="B26" s="73"/>
      <c r="C26" s="73"/>
      <c r="D26" s="73"/>
      <c r="E26" s="73"/>
    </row>
  </sheetData>
  <mergeCells count="1">
    <mergeCell ref="A21:E26"/>
  </mergeCells>
  <hyperlinks>
    <hyperlink ref="J1" location="'Contents'!A1" display="↩ Contents" xr:uid="{00000000-0004-0000-0D00-000000000000}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BFBFBF"/>
  </sheetPr>
  <dimension ref="A1:J34"/>
  <sheetViews>
    <sheetView showGridLines="0" tabSelected="1" workbookViewId="0">
      <pane ySplit="3" topLeftCell="A7" activePane="bottomLeft" state="frozen"/>
      <selection pane="bottomLeft"/>
    </sheetView>
  </sheetViews>
  <sheetFormatPr defaultRowHeight="15" x14ac:dyDescent="0.25"/>
  <cols>
    <col min="1" max="1" width="46" customWidth="1"/>
    <col min="2" max="2" width="14" customWidth="1"/>
    <col min="3" max="3" width="12" customWidth="1"/>
    <col min="4" max="4" width="34" customWidth="1"/>
    <col min="5" max="5" width="18" customWidth="1"/>
    <col min="6" max="7" width="30" customWidth="1"/>
    <col min="8" max="8" width="12" customWidth="1"/>
    <col min="9" max="9" width="22" customWidth="1"/>
  </cols>
  <sheetData>
    <row r="1" spans="1:10" ht="18" x14ac:dyDescent="0.25">
      <c r="A1" s="1" t="s">
        <v>449</v>
      </c>
      <c r="J1" s="2" t="s">
        <v>1</v>
      </c>
    </row>
    <row r="2" spans="1:10" ht="48" x14ac:dyDescent="0.25">
      <c r="A2" s="14" t="s">
        <v>450</v>
      </c>
    </row>
    <row r="3" spans="1:10" ht="36" x14ac:dyDescent="0.25">
      <c r="A3" s="14" t="s">
        <v>451</v>
      </c>
    </row>
    <row r="4" spans="1:10" x14ac:dyDescent="0.25">
      <c r="A4" s="15" t="s">
        <v>452</v>
      </c>
    </row>
    <row r="5" spans="1:10" x14ac:dyDescent="0.25">
      <c r="A5" s="75" t="s">
        <v>453</v>
      </c>
      <c r="B5" s="73"/>
      <c r="C5" s="73"/>
      <c r="D5" s="73"/>
      <c r="E5" s="73"/>
      <c r="F5" s="73"/>
      <c r="G5" s="73"/>
      <c r="H5" s="73"/>
      <c r="I5" s="73"/>
    </row>
    <row r="6" spans="1:10" x14ac:dyDescent="0.25">
      <c r="A6" s="73"/>
      <c r="B6" s="73"/>
      <c r="C6" s="73"/>
      <c r="D6" s="73"/>
      <c r="E6" s="73"/>
      <c r="F6" s="73"/>
      <c r="G6" s="73"/>
      <c r="H6" s="73"/>
      <c r="I6" s="73"/>
    </row>
    <row r="7" spans="1:10" x14ac:dyDescent="0.25">
      <c r="A7" s="73"/>
      <c r="B7" s="73"/>
      <c r="C7" s="73"/>
      <c r="D7" s="73"/>
      <c r="E7" s="73"/>
      <c r="F7" s="73"/>
      <c r="G7" s="73"/>
      <c r="H7" s="73"/>
      <c r="I7" s="73"/>
    </row>
    <row r="8" spans="1:10" x14ac:dyDescent="0.25">
      <c r="A8" s="73"/>
      <c r="B8" s="73"/>
      <c r="C8" s="73"/>
      <c r="D8" s="73"/>
      <c r="E8" s="73"/>
      <c r="F8" s="73"/>
      <c r="G8" s="73"/>
      <c r="H8" s="73"/>
      <c r="I8" s="73"/>
    </row>
    <row r="9" spans="1:10" x14ac:dyDescent="0.25">
      <c r="A9" s="73"/>
      <c r="B9" s="73"/>
      <c r="C9" s="73"/>
      <c r="D9" s="73"/>
      <c r="E9" s="73"/>
      <c r="F9" s="73"/>
      <c r="G9" s="73"/>
      <c r="H9" s="73"/>
      <c r="I9" s="73"/>
    </row>
    <row r="10" spans="1:10" x14ac:dyDescent="0.25">
      <c r="A10" s="73"/>
      <c r="B10" s="73"/>
      <c r="C10" s="73"/>
      <c r="D10" s="73"/>
      <c r="E10" s="73"/>
      <c r="F10" s="73"/>
      <c r="G10" s="73"/>
      <c r="H10" s="73"/>
      <c r="I10" s="73"/>
    </row>
    <row r="12" spans="1:10" x14ac:dyDescent="0.25">
      <c r="A12" s="6" t="s">
        <v>454</v>
      </c>
    </row>
    <row r="13" spans="1:10" x14ac:dyDescent="0.25">
      <c r="A13" s="15" t="s">
        <v>455</v>
      </c>
    </row>
    <row r="15" spans="1:10" x14ac:dyDescent="0.25">
      <c r="A15" s="15" t="s">
        <v>456</v>
      </c>
      <c r="B15" s="15" t="s">
        <v>88</v>
      </c>
      <c r="C15" s="15" t="s">
        <v>89</v>
      </c>
      <c r="D15" s="15" t="s">
        <v>457</v>
      </c>
      <c r="E15" s="15" t="s">
        <v>458</v>
      </c>
      <c r="F15" s="15" t="s">
        <v>459</v>
      </c>
      <c r="G15" s="15" t="s">
        <v>460</v>
      </c>
      <c r="H15" s="15" t="s">
        <v>8</v>
      </c>
      <c r="I15" s="15" t="s">
        <v>461</v>
      </c>
    </row>
    <row r="16" spans="1:10" x14ac:dyDescent="0.25">
      <c r="A16" s="15" t="s">
        <v>462</v>
      </c>
    </row>
    <row r="17" spans="1:9" x14ac:dyDescent="0.25">
      <c r="A17" s="15" t="s">
        <v>463</v>
      </c>
      <c r="B17" s="15">
        <v>4.7759999999999998</v>
      </c>
      <c r="C17" s="15" t="s">
        <v>464</v>
      </c>
      <c r="D17" s="15" t="s">
        <v>465</v>
      </c>
      <c r="E17" s="15" t="s">
        <v>466</v>
      </c>
      <c r="F17" s="15" t="s">
        <v>467</v>
      </c>
      <c r="G17" s="15" t="s">
        <v>468</v>
      </c>
      <c r="H17" s="15" t="s">
        <v>469</v>
      </c>
      <c r="I17" s="15" t="s">
        <v>470</v>
      </c>
    </row>
    <row r="18" spans="1:9" x14ac:dyDescent="0.25">
      <c r="A18" s="15" t="s">
        <v>471</v>
      </c>
    </row>
    <row r="19" spans="1:9" x14ac:dyDescent="0.25">
      <c r="A19" s="15" t="s">
        <v>472</v>
      </c>
      <c r="B19" s="15">
        <v>525</v>
      </c>
      <c r="C19" s="15" t="s">
        <v>473</v>
      </c>
      <c r="D19" s="15" t="s">
        <v>474</v>
      </c>
      <c r="E19" s="15" t="s">
        <v>475</v>
      </c>
      <c r="F19" s="15" t="s">
        <v>476</v>
      </c>
      <c r="G19" s="15" t="s">
        <v>477</v>
      </c>
      <c r="H19" s="15" t="s">
        <v>478</v>
      </c>
      <c r="I19" s="15" t="s">
        <v>470</v>
      </c>
    </row>
    <row r="20" spans="1:9" x14ac:dyDescent="0.25">
      <c r="A20" s="15" t="s">
        <v>479</v>
      </c>
    </row>
    <row r="21" spans="1:9" x14ac:dyDescent="0.25">
      <c r="A21" s="15" t="s">
        <v>480</v>
      </c>
      <c r="B21" s="15">
        <v>12</v>
      </c>
      <c r="C21" s="15" t="s">
        <v>481</v>
      </c>
      <c r="D21" s="15" t="s">
        <v>482</v>
      </c>
      <c r="E21" s="15" t="s">
        <v>483</v>
      </c>
      <c r="F21" s="15" t="s">
        <v>484</v>
      </c>
      <c r="G21" s="15" t="s">
        <v>485</v>
      </c>
      <c r="H21" s="15" t="s">
        <v>486</v>
      </c>
      <c r="I21" s="15" t="s">
        <v>470</v>
      </c>
    </row>
    <row r="22" spans="1:9" x14ac:dyDescent="0.25">
      <c r="A22" s="15" t="s">
        <v>487</v>
      </c>
      <c r="B22" s="15">
        <v>33</v>
      </c>
      <c r="C22" s="15" t="s">
        <v>488</v>
      </c>
      <c r="D22" s="15" t="s">
        <v>482</v>
      </c>
      <c r="E22" s="15" t="s">
        <v>483</v>
      </c>
      <c r="F22" s="15" t="s">
        <v>484</v>
      </c>
      <c r="G22" s="15" t="s">
        <v>485</v>
      </c>
      <c r="H22" s="15" t="s">
        <v>486</v>
      </c>
      <c r="I22" s="15" t="s">
        <v>470</v>
      </c>
    </row>
    <row r="23" spans="1:9" x14ac:dyDescent="0.25">
      <c r="A23" s="15" t="s">
        <v>489</v>
      </c>
      <c r="B23" s="15">
        <v>40</v>
      </c>
      <c r="C23" s="15" t="s">
        <v>481</v>
      </c>
      <c r="D23" s="15" t="s">
        <v>482</v>
      </c>
      <c r="E23" s="15" t="s">
        <v>483</v>
      </c>
      <c r="F23" s="15" t="s">
        <v>484</v>
      </c>
      <c r="G23" s="15" t="s">
        <v>490</v>
      </c>
      <c r="H23" s="15" t="s">
        <v>486</v>
      </c>
      <c r="I23" s="15" t="s">
        <v>470</v>
      </c>
    </row>
    <row r="24" spans="1:9" x14ac:dyDescent="0.25">
      <c r="A24" s="15" t="s">
        <v>491</v>
      </c>
      <c r="B24" s="15">
        <v>45</v>
      </c>
      <c r="C24" s="15" t="s">
        <v>481</v>
      </c>
      <c r="D24" s="15" t="s">
        <v>482</v>
      </c>
      <c r="E24" s="15" t="s">
        <v>483</v>
      </c>
      <c r="F24" s="15" t="s">
        <v>484</v>
      </c>
      <c r="G24" s="15" t="s">
        <v>492</v>
      </c>
      <c r="H24" s="15" t="s">
        <v>486</v>
      </c>
      <c r="I24" s="15" t="s">
        <v>470</v>
      </c>
    </row>
    <row r="25" spans="1:9" x14ac:dyDescent="0.25">
      <c r="A25" s="15" t="s">
        <v>493</v>
      </c>
    </row>
    <row r="26" spans="1:9" x14ac:dyDescent="0.25">
      <c r="A26" s="15" t="s">
        <v>494</v>
      </c>
      <c r="B26" s="15">
        <v>70</v>
      </c>
      <c r="C26" s="15" t="s">
        <v>464</v>
      </c>
      <c r="D26" s="15" t="s">
        <v>495</v>
      </c>
      <c r="E26" s="15" t="s">
        <v>496</v>
      </c>
      <c r="F26" s="15" t="s">
        <v>497</v>
      </c>
      <c r="G26" s="15" t="s">
        <v>498</v>
      </c>
      <c r="H26" s="15" t="s">
        <v>499</v>
      </c>
      <c r="I26" s="15" t="s">
        <v>500</v>
      </c>
    </row>
    <row r="27" spans="1:9" x14ac:dyDescent="0.25">
      <c r="A27" s="15" t="s">
        <v>501</v>
      </c>
      <c r="B27" s="15">
        <v>80</v>
      </c>
      <c r="C27" s="15" t="s">
        <v>464</v>
      </c>
      <c r="D27" s="15" t="s">
        <v>502</v>
      </c>
      <c r="E27" s="15" t="s">
        <v>503</v>
      </c>
      <c r="F27" s="15" t="s">
        <v>504</v>
      </c>
      <c r="G27" s="15" t="s">
        <v>505</v>
      </c>
      <c r="H27" s="15" t="s">
        <v>499</v>
      </c>
      <c r="I27" s="15" t="s">
        <v>500</v>
      </c>
    </row>
    <row r="28" spans="1:9" x14ac:dyDescent="0.25">
      <c r="A28" s="15" t="s">
        <v>506</v>
      </c>
    </row>
    <row r="29" spans="1:9" x14ac:dyDescent="0.25">
      <c r="A29" s="15" t="s">
        <v>507</v>
      </c>
      <c r="B29" s="15">
        <v>80</v>
      </c>
      <c r="C29" s="15" t="s">
        <v>464</v>
      </c>
      <c r="D29" s="15" t="s">
        <v>508</v>
      </c>
      <c r="E29" s="15" t="s">
        <v>509</v>
      </c>
      <c r="F29" s="15" t="s">
        <v>510</v>
      </c>
      <c r="G29" s="15" t="s">
        <v>511</v>
      </c>
      <c r="H29" s="15" t="s">
        <v>499</v>
      </c>
      <c r="I29" s="15" t="s">
        <v>500</v>
      </c>
    </row>
    <row r="30" spans="1:9" x14ac:dyDescent="0.25">
      <c r="A30" s="15" t="s">
        <v>512</v>
      </c>
    </row>
    <row r="31" spans="1:9" x14ac:dyDescent="0.25">
      <c r="A31" s="15" t="s">
        <v>513</v>
      </c>
      <c r="B31" s="15">
        <v>0.2</v>
      </c>
      <c r="C31" s="15" t="s">
        <v>127</v>
      </c>
      <c r="D31" s="15" t="s">
        <v>514</v>
      </c>
      <c r="E31" s="15" t="s">
        <v>515</v>
      </c>
      <c r="F31" s="15" t="s">
        <v>516</v>
      </c>
      <c r="G31" s="15" t="s">
        <v>517</v>
      </c>
      <c r="H31" s="15" t="s">
        <v>499</v>
      </c>
      <c r="I31" s="15" t="s">
        <v>518</v>
      </c>
    </row>
    <row r="32" spans="1:9" x14ac:dyDescent="0.25">
      <c r="A32" s="15" t="s">
        <v>519</v>
      </c>
      <c r="B32" s="15">
        <v>0.18</v>
      </c>
      <c r="C32" s="15" t="s">
        <v>127</v>
      </c>
      <c r="D32" s="15" t="s">
        <v>514</v>
      </c>
      <c r="E32" s="15" t="s">
        <v>515</v>
      </c>
      <c r="F32" s="15" t="s">
        <v>516</v>
      </c>
      <c r="G32" s="15" t="s">
        <v>517</v>
      </c>
      <c r="H32" s="15" t="s">
        <v>499</v>
      </c>
      <c r="I32" s="15" t="s">
        <v>518</v>
      </c>
    </row>
    <row r="33" spans="1:9" x14ac:dyDescent="0.25">
      <c r="A33" s="15" t="s">
        <v>520</v>
      </c>
      <c r="B33" s="15">
        <v>0.12</v>
      </c>
      <c r="C33" s="15" t="s">
        <v>127</v>
      </c>
      <c r="D33" s="15" t="s">
        <v>514</v>
      </c>
      <c r="E33" s="15" t="s">
        <v>515</v>
      </c>
      <c r="F33" s="15" t="s">
        <v>516</v>
      </c>
      <c r="G33" s="15" t="s">
        <v>517</v>
      </c>
      <c r="H33" s="15" t="s">
        <v>499</v>
      </c>
      <c r="I33" s="15" t="s">
        <v>518</v>
      </c>
    </row>
    <row r="34" spans="1:9" x14ac:dyDescent="0.25">
      <c r="A34" s="15" t="s">
        <v>521</v>
      </c>
      <c r="B34" s="15">
        <v>1.8</v>
      </c>
      <c r="C34" s="15" t="s">
        <v>127</v>
      </c>
      <c r="D34" s="15" t="s">
        <v>474</v>
      </c>
      <c r="E34" s="15" t="s">
        <v>475</v>
      </c>
      <c r="F34" s="15" t="s">
        <v>476</v>
      </c>
      <c r="G34" s="15" t="s">
        <v>522</v>
      </c>
      <c r="H34" s="15" t="s">
        <v>499</v>
      </c>
      <c r="I34" s="15" t="s">
        <v>523</v>
      </c>
    </row>
  </sheetData>
  <mergeCells count="1">
    <mergeCell ref="A5:I10"/>
  </mergeCells>
  <hyperlinks>
    <hyperlink ref="J1" location="'Contents'!A1" display="↩ Contents" xr:uid="{00000000-0004-0000-0F00-000000000000}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BFBFBF"/>
  </sheetPr>
  <dimension ref="A1:J51"/>
  <sheetViews>
    <sheetView showGridLines="0" workbookViewId="0">
      <pane ySplit="3" topLeftCell="A16" activePane="bottomLeft" state="frozen"/>
      <selection pane="bottomLeft" activeCell="C17" sqref="C17"/>
    </sheetView>
  </sheetViews>
  <sheetFormatPr defaultRowHeight="15" x14ac:dyDescent="0.25"/>
  <cols>
    <col min="1" max="1" width="46" customWidth="1"/>
    <col min="2" max="2" width="14" customWidth="1"/>
    <col min="3" max="3" width="12" customWidth="1"/>
    <col min="4" max="4" width="34" customWidth="1"/>
    <col min="5" max="5" width="18" customWidth="1"/>
    <col min="6" max="7" width="30" customWidth="1"/>
    <col min="8" max="8" width="12" customWidth="1"/>
    <col min="9" max="9" width="22" customWidth="1"/>
  </cols>
  <sheetData>
    <row r="1" spans="1:10" ht="18" x14ac:dyDescent="0.25">
      <c r="A1" s="1" t="s">
        <v>524</v>
      </c>
      <c r="J1" s="2" t="s">
        <v>1</v>
      </c>
    </row>
    <row r="2" spans="1:10" ht="48" x14ac:dyDescent="0.25">
      <c r="A2" s="14" t="s">
        <v>450</v>
      </c>
    </row>
    <row r="3" spans="1:10" ht="36" x14ac:dyDescent="0.25">
      <c r="A3" s="14" t="s">
        <v>451</v>
      </c>
    </row>
    <row r="4" spans="1:10" x14ac:dyDescent="0.25">
      <c r="A4" s="15" t="s">
        <v>452</v>
      </c>
    </row>
    <row r="5" spans="1:10" x14ac:dyDescent="0.25">
      <c r="A5" s="75" t="s">
        <v>525</v>
      </c>
      <c r="B5" s="73"/>
      <c r="C5" s="73"/>
      <c r="D5" s="73"/>
      <c r="E5" s="73"/>
      <c r="F5" s="73"/>
      <c r="G5" s="73"/>
      <c r="H5" s="73"/>
      <c r="I5" s="73"/>
    </row>
    <row r="6" spans="1:10" x14ac:dyDescent="0.25">
      <c r="A6" s="73"/>
      <c r="B6" s="73"/>
      <c r="C6" s="73"/>
      <c r="D6" s="73"/>
      <c r="E6" s="73"/>
      <c r="F6" s="73"/>
      <c r="G6" s="73"/>
      <c r="H6" s="73"/>
      <c r="I6" s="73"/>
    </row>
    <row r="7" spans="1:10" x14ac:dyDescent="0.25">
      <c r="A7" s="73"/>
      <c r="B7" s="73"/>
      <c r="C7" s="73"/>
      <c r="D7" s="73"/>
      <c r="E7" s="73"/>
      <c r="F7" s="73"/>
      <c r="G7" s="73"/>
      <c r="H7" s="73"/>
      <c r="I7" s="73"/>
    </row>
    <row r="8" spans="1:10" x14ac:dyDescent="0.25">
      <c r="A8" s="73"/>
      <c r="B8" s="73"/>
      <c r="C8" s="73"/>
      <c r="D8" s="73"/>
      <c r="E8" s="73"/>
      <c r="F8" s="73"/>
      <c r="G8" s="73"/>
      <c r="H8" s="73"/>
      <c r="I8" s="73"/>
    </row>
    <row r="9" spans="1:10" x14ac:dyDescent="0.25">
      <c r="A9" s="73"/>
      <c r="B9" s="73"/>
      <c r="C9" s="73"/>
      <c r="D9" s="73"/>
      <c r="E9" s="73"/>
      <c r="F9" s="73"/>
      <c r="G9" s="73"/>
      <c r="H9" s="73"/>
      <c r="I9" s="73"/>
    </row>
    <row r="10" spans="1:10" x14ac:dyDescent="0.25">
      <c r="A10" s="73"/>
      <c r="B10" s="73"/>
      <c r="C10" s="73"/>
      <c r="D10" s="73"/>
      <c r="E10" s="73"/>
      <c r="F10" s="73"/>
      <c r="G10" s="73"/>
      <c r="H10" s="73"/>
      <c r="I10" s="73"/>
    </row>
    <row r="12" spans="1:10" x14ac:dyDescent="0.25">
      <c r="A12" s="6" t="s">
        <v>454</v>
      </c>
    </row>
    <row r="13" spans="1:10" x14ac:dyDescent="0.25">
      <c r="A13" s="15" t="s">
        <v>526</v>
      </c>
    </row>
    <row r="15" spans="1:10" x14ac:dyDescent="0.25">
      <c r="A15" s="15" t="s">
        <v>456</v>
      </c>
      <c r="B15" s="15" t="s">
        <v>88</v>
      </c>
      <c r="C15" s="15" t="s">
        <v>89</v>
      </c>
      <c r="D15" s="15" t="s">
        <v>527</v>
      </c>
      <c r="E15" s="15" t="s">
        <v>458</v>
      </c>
      <c r="F15" s="15" t="s">
        <v>528</v>
      </c>
      <c r="G15" s="15" t="s">
        <v>529</v>
      </c>
    </row>
    <row r="16" spans="1:10" x14ac:dyDescent="0.25">
      <c r="A16" s="15" t="s">
        <v>530</v>
      </c>
    </row>
    <row r="17" spans="1:7" x14ac:dyDescent="0.25">
      <c r="A17" s="15" t="s">
        <v>531</v>
      </c>
      <c r="B17" s="15">
        <v>0.14000000000000001</v>
      </c>
      <c r="D17" s="15" t="s">
        <v>532</v>
      </c>
      <c r="E17" s="15" t="s">
        <v>533</v>
      </c>
      <c r="G17" s="15" t="s">
        <v>9</v>
      </c>
    </row>
    <row r="18" spans="1:7" x14ac:dyDescent="0.25">
      <c r="A18" s="15" t="s">
        <v>534</v>
      </c>
      <c r="B18" s="15">
        <v>0.25</v>
      </c>
      <c r="D18" s="15" t="s">
        <v>535</v>
      </c>
      <c r="E18" s="15" t="s">
        <v>533</v>
      </c>
      <c r="G18" s="15" t="s">
        <v>9</v>
      </c>
    </row>
    <row r="19" spans="1:7" x14ac:dyDescent="0.25">
      <c r="A19" s="15" t="s">
        <v>536</v>
      </c>
    </row>
    <row r="20" spans="1:7" x14ac:dyDescent="0.25">
      <c r="A20" s="15" t="s">
        <v>537</v>
      </c>
      <c r="B20" s="15">
        <v>25</v>
      </c>
      <c r="D20" s="15" t="s">
        <v>538</v>
      </c>
      <c r="E20" s="15" t="s">
        <v>533</v>
      </c>
      <c r="G20" s="15" t="s">
        <v>9</v>
      </c>
    </row>
    <row r="21" spans="1:7" x14ac:dyDescent="0.25">
      <c r="A21" s="15" t="s">
        <v>539</v>
      </c>
      <c r="B21" s="15">
        <v>35</v>
      </c>
      <c r="D21" s="15" t="s">
        <v>540</v>
      </c>
      <c r="E21" s="15" t="s">
        <v>533</v>
      </c>
      <c r="G21" s="15" t="s">
        <v>9</v>
      </c>
    </row>
    <row r="22" spans="1:7" x14ac:dyDescent="0.25">
      <c r="A22" s="15" t="s">
        <v>541</v>
      </c>
      <c r="B22" s="15">
        <v>3</v>
      </c>
      <c r="D22" s="15" t="s">
        <v>542</v>
      </c>
      <c r="E22" s="15" t="s">
        <v>533</v>
      </c>
      <c r="G22" s="15" t="s">
        <v>9</v>
      </c>
    </row>
    <row r="23" spans="1:7" x14ac:dyDescent="0.25">
      <c r="A23" s="15" t="s">
        <v>543</v>
      </c>
      <c r="B23" s="15" t="s">
        <v>544</v>
      </c>
      <c r="D23" s="15" t="s">
        <v>545</v>
      </c>
      <c r="E23" s="15" t="s">
        <v>533</v>
      </c>
      <c r="G23" s="15" t="s">
        <v>9</v>
      </c>
    </row>
    <row r="24" spans="1:7" x14ac:dyDescent="0.25">
      <c r="A24" s="15" t="s">
        <v>546</v>
      </c>
      <c r="B24" s="15" t="s">
        <v>547</v>
      </c>
      <c r="D24" s="15" t="s">
        <v>548</v>
      </c>
      <c r="E24" s="15" t="s">
        <v>533</v>
      </c>
      <c r="G24" s="15" t="s">
        <v>9</v>
      </c>
    </row>
    <row r="25" spans="1:7" x14ac:dyDescent="0.25">
      <c r="A25" s="15" t="s">
        <v>549</v>
      </c>
    </row>
    <row r="26" spans="1:7" x14ac:dyDescent="0.25">
      <c r="A26" s="15" t="s">
        <v>550</v>
      </c>
      <c r="B26" s="15">
        <v>8</v>
      </c>
      <c r="D26" s="15" t="s">
        <v>551</v>
      </c>
      <c r="E26" s="15" t="s">
        <v>533</v>
      </c>
      <c r="F26" s="15" t="s">
        <v>552</v>
      </c>
      <c r="G26" s="15" t="s">
        <v>9</v>
      </c>
    </row>
    <row r="27" spans="1:7" x14ac:dyDescent="0.25">
      <c r="A27" s="15" t="s">
        <v>553</v>
      </c>
      <c r="B27" s="15">
        <v>2</v>
      </c>
      <c r="D27" s="15" t="s">
        <v>554</v>
      </c>
      <c r="E27" s="15" t="s">
        <v>533</v>
      </c>
      <c r="F27" s="15" t="s">
        <v>552</v>
      </c>
      <c r="G27" s="15" t="s">
        <v>9</v>
      </c>
    </row>
    <row r="28" spans="1:7" x14ac:dyDescent="0.25">
      <c r="A28" s="15" t="s">
        <v>555</v>
      </c>
      <c r="B28" s="15">
        <v>0.1</v>
      </c>
      <c r="D28" s="15" t="s">
        <v>556</v>
      </c>
      <c r="E28" s="15" t="s">
        <v>533</v>
      </c>
      <c r="F28" s="15" t="s">
        <v>552</v>
      </c>
      <c r="G28" s="15" t="s">
        <v>9</v>
      </c>
    </row>
    <row r="29" spans="1:7" x14ac:dyDescent="0.25">
      <c r="A29" s="15" t="s">
        <v>557</v>
      </c>
      <c r="B29" s="15">
        <v>0.2</v>
      </c>
      <c r="D29" s="15" t="s">
        <v>558</v>
      </c>
      <c r="E29" s="15" t="s">
        <v>533</v>
      </c>
      <c r="F29" s="15" t="s">
        <v>552</v>
      </c>
      <c r="G29" s="15" t="s">
        <v>9</v>
      </c>
    </row>
    <row r="30" spans="1:7" x14ac:dyDescent="0.25">
      <c r="A30" s="15" t="s">
        <v>559</v>
      </c>
      <c r="B30" s="15">
        <v>1</v>
      </c>
      <c r="D30" s="15" t="s">
        <v>560</v>
      </c>
      <c r="E30" s="15" t="s">
        <v>533</v>
      </c>
      <c r="G30" s="15" t="s">
        <v>9</v>
      </c>
    </row>
    <row r="31" spans="1:7" x14ac:dyDescent="0.25">
      <c r="A31" s="15" t="s">
        <v>561</v>
      </c>
      <c r="B31" s="15">
        <v>5</v>
      </c>
      <c r="D31" s="15" t="s">
        <v>562</v>
      </c>
      <c r="E31" s="15" t="s">
        <v>533</v>
      </c>
      <c r="F31" s="15" t="s">
        <v>552</v>
      </c>
      <c r="G31" s="15" t="s">
        <v>9</v>
      </c>
    </row>
    <row r="32" spans="1:7" x14ac:dyDescent="0.25">
      <c r="A32" s="15" t="s">
        <v>563</v>
      </c>
    </row>
    <row r="33" spans="1:7" x14ac:dyDescent="0.25">
      <c r="A33" s="15" t="s">
        <v>564</v>
      </c>
      <c r="B33" s="15">
        <v>25</v>
      </c>
      <c r="D33" s="15" t="s">
        <v>565</v>
      </c>
      <c r="E33" s="15" t="s">
        <v>533</v>
      </c>
      <c r="F33" s="15" t="s">
        <v>552</v>
      </c>
      <c r="G33" s="15" t="s">
        <v>9</v>
      </c>
    </row>
    <row r="34" spans="1:7" x14ac:dyDescent="0.25">
      <c r="A34" s="15" t="s">
        <v>566</v>
      </c>
      <c r="B34" s="15">
        <v>0</v>
      </c>
      <c r="D34" s="15" t="s">
        <v>567</v>
      </c>
      <c r="E34" s="15" t="s">
        <v>533</v>
      </c>
      <c r="F34" s="15" t="s">
        <v>552</v>
      </c>
      <c r="G34" s="15" t="s">
        <v>9</v>
      </c>
    </row>
    <row r="35" spans="1:7" x14ac:dyDescent="0.25">
      <c r="A35" s="15" t="s">
        <v>568</v>
      </c>
      <c r="B35" s="15">
        <v>0</v>
      </c>
      <c r="D35" s="15" t="s">
        <v>569</v>
      </c>
      <c r="E35" s="15" t="s">
        <v>533</v>
      </c>
      <c r="F35" s="15" t="s">
        <v>552</v>
      </c>
      <c r="G35" s="15" t="s">
        <v>9</v>
      </c>
    </row>
    <row r="36" spans="1:7" x14ac:dyDescent="0.25">
      <c r="A36" s="15" t="s">
        <v>570</v>
      </c>
      <c r="B36" s="15">
        <v>3</v>
      </c>
      <c r="D36" s="15" t="s">
        <v>571</v>
      </c>
      <c r="E36" s="15" t="s">
        <v>533</v>
      </c>
      <c r="G36" s="15" t="s">
        <v>9</v>
      </c>
    </row>
    <row r="37" spans="1:7" x14ac:dyDescent="0.25">
      <c r="A37" s="15" t="s">
        <v>572</v>
      </c>
      <c r="B37" s="15">
        <v>5</v>
      </c>
      <c r="D37" s="15" t="s">
        <v>573</v>
      </c>
      <c r="E37" s="15" t="s">
        <v>533</v>
      </c>
      <c r="G37" s="15" t="s">
        <v>9</v>
      </c>
    </row>
    <row r="38" spans="1:7" x14ac:dyDescent="0.25">
      <c r="A38" s="15" t="s">
        <v>574</v>
      </c>
      <c r="B38" s="15">
        <v>7</v>
      </c>
      <c r="D38" s="15" t="s">
        <v>575</v>
      </c>
      <c r="E38" s="15" t="s">
        <v>533</v>
      </c>
      <c r="G38" s="15" t="s">
        <v>9</v>
      </c>
    </row>
    <row r="39" spans="1:7" x14ac:dyDescent="0.25">
      <c r="A39" s="15" t="s">
        <v>576</v>
      </c>
    </row>
    <row r="40" spans="1:7" x14ac:dyDescent="0.25">
      <c r="A40" s="15" t="s">
        <v>577</v>
      </c>
      <c r="B40" s="15">
        <v>0.5</v>
      </c>
      <c r="D40" s="15" t="s">
        <v>123</v>
      </c>
      <c r="E40" s="15" t="s">
        <v>533</v>
      </c>
      <c r="G40" s="15" t="s">
        <v>9</v>
      </c>
    </row>
    <row r="41" spans="1:7" x14ac:dyDescent="0.25">
      <c r="A41" s="15" t="s">
        <v>578</v>
      </c>
      <c r="B41" s="15">
        <v>0.3</v>
      </c>
      <c r="D41" s="15" t="s">
        <v>579</v>
      </c>
      <c r="E41" s="15" t="s">
        <v>533</v>
      </c>
      <c r="G41" s="15" t="s">
        <v>9</v>
      </c>
    </row>
    <row r="42" spans="1:7" x14ac:dyDescent="0.25">
      <c r="A42" s="15" t="s">
        <v>580</v>
      </c>
    </row>
    <row r="43" spans="1:7" x14ac:dyDescent="0.25">
      <c r="A43" s="15" t="s">
        <v>581</v>
      </c>
      <c r="E43" s="15" t="s">
        <v>533</v>
      </c>
    </row>
    <row r="44" spans="1:7" x14ac:dyDescent="0.25">
      <c r="A44" s="15" t="s">
        <v>582</v>
      </c>
    </row>
    <row r="45" spans="1:7" x14ac:dyDescent="0.25">
      <c r="A45" s="15" t="s">
        <v>583</v>
      </c>
      <c r="D45" s="15" t="s">
        <v>584</v>
      </c>
      <c r="E45" s="15" t="s">
        <v>533</v>
      </c>
    </row>
    <row r="46" spans="1:7" x14ac:dyDescent="0.25">
      <c r="A46" s="15" t="s">
        <v>585</v>
      </c>
    </row>
    <row r="47" spans="1:7" x14ac:dyDescent="0.25">
      <c r="A47" s="15" t="s">
        <v>586</v>
      </c>
      <c r="B47" s="15">
        <v>2.5</v>
      </c>
      <c r="D47" s="15" t="s">
        <v>587</v>
      </c>
      <c r="E47" s="15" t="s">
        <v>533</v>
      </c>
      <c r="F47" s="15" t="s">
        <v>552</v>
      </c>
      <c r="G47" s="15" t="s">
        <v>588</v>
      </c>
    </row>
    <row r="48" spans="1:7" x14ac:dyDescent="0.25">
      <c r="A48" s="15" t="s">
        <v>589</v>
      </c>
      <c r="B48" s="15">
        <v>3</v>
      </c>
      <c r="D48" s="15" t="s">
        <v>590</v>
      </c>
      <c r="E48" s="15" t="s">
        <v>533</v>
      </c>
      <c r="F48" s="15" t="s">
        <v>552</v>
      </c>
      <c r="G48" s="15" t="s">
        <v>588</v>
      </c>
    </row>
    <row r="49" spans="1:7" x14ac:dyDescent="0.25">
      <c r="A49" s="15" t="s">
        <v>591</v>
      </c>
      <c r="B49" s="15">
        <v>0.1</v>
      </c>
      <c r="D49" s="15" t="s">
        <v>592</v>
      </c>
      <c r="E49" s="15" t="s">
        <v>533</v>
      </c>
      <c r="F49" s="15" t="s">
        <v>552</v>
      </c>
      <c r="G49" s="15" t="s">
        <v>588</v>
      </c>
    </row>
    <row r="50" spans="1:7" x14ac:dyDescent="0.25">
      <c r="A50" s="15" t="s">
        <v>593</v>
      </c>
      <c r="B50" s="15">
        <v>0.7</v>
      </c>
      <c r="D50" s="15" t="s">
        <v>594</v>
      </c>
      <c r="E50" s="15" t="s">
        <v>533</v>
      </c>
      <c r="F50" s="15" t="s">
        <v>552</v>
      </c>
      <c r="G50" s="15" t="s">
        <v>588</v>
      </c>
    </row>
    <row r="51" spans="1:7" x14ac:dyDescent="0.25">
      <c r="A51" s="15" t="s">
        <v>595</v>
      </c>
      <c r="B51" s="15">
        <v>0.5</v>
      </c>
      <c r="D51" s="15" t="s">
        <v>596</v>
      </c>
      <c r="E51" s="15" t="s">
        <v>533</v>
      </c>
      <c r="F51" s="15" t="s">
        <v>552</v>
      </c>
      <c r="G51" s="15" t="s">
        <v>588</v>
      </c>
    </row>
  </sheetData>
  <mergeCells count="1">
    <mergeCell ref="A5:I10"/>
  </mergeCells>
  <hyperlinks>
    <hyperlink ref="J1" location="'Contents'!A1" display="↩ Contents" xr:uid="{00000000-0004-0000-1000-000000000000}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9B8FE-33C9-402D-BDA9-C2C0610FB3C9}">
  <sheetPr>
    <tabColor rgb="FFBFBFBF"/>
  </sheetPr>
  <dimension ref="A1:I20"/>
  <sheetViews>
    <sheetView workbookViewId="0">
      <selection activeCell="F26" sqref="F26"/>
    </sheetView>
  </sheetViews>
  <sheetFormatPr defaultRowHeight="15" x14ac:dyDescent="0.25"/>
  <cols>
    <col min="1" max="1" width="61.5703125" bestFit="1" customWidth="1"/>
    <col min="2" max="2" width="8.42578125" bestFit="1" customWidth="1"/>
    <col min="3" max="3" width="8.140625" bestFit="1" customWidth="1"/>
    <col min="4" max="4" width="62.28515625" bestFit="1" customWidth="1"/>
    <col min="5" max="5" width="21.7109375" bestFit="1" customWidth="1"/>
    <col min="6" max="6" width="49.42578125" bestFit="1" customWidth="1"/>
    <col min="7" max="7" width="65.42578125" bestFit="1" customWidth="1"/>
    <col min="8" max="8" width="10.42578125" bestFit="1" customWidth="1"/>
    <col min="9" max="9" width="26.7109375" bestFit="1" customWidth="1"/>
  </cols>
  <sheetData>
    <row r="1" spans="1:9" x14ac:dyDescent="0.25">
      <c r="A1" t="s">
        <v>456</v>
      </c>
      <c r="B1" t="s">
        <v>88</v>
      </c>
      <c r="C1" t="s">
        <v>89</v>
      </c>
      <c r="D1" t="s">
        <v>457</v>
      </c>
      <c r="E1" t="s">
        <v>458</v>
      </c>
      <c r="F1" t="s">
        <v>459</v>
      </c>
      <c r="G1" t="s">
        <v>460</v>
      </c>
      <c r="H1" t="s">
        <v>8</v>
      </c>
      <c r="I1" t="s">
        <v>461</v>
      </c>
    </row>
    <row r="2" spans="1:9" x14ac:dyDescent="0.25">
      <c r="A2" s="76" t="s">
        <v>462</v>
      </c>
      <c r="C2" s="76"/>
      <c r="D2" s="76"/>
      <c r="E2" s="76"/>
      <c r="F2" s="76"/>
      <c r="G2" s="76"/>
      <c r="H2" s="76"/>
      <c r="I2" s="76"/>
    </row>
    <row r="3" spans="1:9" x14ac:dyDescent="0.25">
      <c r="A3" s="76" t="s">
        <v>463</v>
      </c>
      <c r="B3">
        <v>4.7759999999999998</v>
      </c>
      <c r="C3" s="76" t="s">
        <v>464</v>
      </c>
      <c r="D3" s="76" t="s">
        <v>465</v>
      </c>
      <c r="E3" s="76" t="s">
        <v>466</v>
      </c>
      <c r="F3" s="76" t="s">
        <v>467</v>
      </c>
      <c r="G3" s="76" t="s">
        <v>468</v>
      </c>
      <c r="H3" s="76" t="s">
        <v>469</v>
      </c>
      <c r="I3" s="76" t="s">
        <v>470</v>
      </c>
    </row>
    <row r="4" spans="1:9" x14ac:dyDescent="0.25">
      <c r="A4" s="76" t="s">
        <v>471</v>
      </c>
      <c r="C4" s="76"/>
      <c r="D4" s="76"/>
      <c r="E4" s="76"/>
      <c r="F4" s="76"/>
      <c r="G4" s="76"/>
      <c r="H4" s="76"/>
      <c r="I4" s="76"/>
    </row>
    <row r="5" spans="1:9" x14ac:dyDescent="0.25">
      <c r="A5" s="76" t="s">
        <v>472</v>
      </c>
      <c r="B5">
        <v>525</v>
      </c>
      <c r="C5" s="76" t="s">
        <v>473</v>
      </c>
      <c r="D5" s="76" t="s">
        <v>474</v>
      </c>
      <c r="E5" s="76" t="s">
        <v>475</v>
      </c>
      <c r="F5" s="76" t="s">
        <v>476</v>
      </c>
      <c r="G5" s="76" t="s">
        <v>477</v>
      </c>
      <c r="H5" s="76" t="s">
        <v>478</v>
      </c>
      <c r="I5" s="76" t="s">
        <v>470</v>
      </c>
    </row>
    <row r="6" spans="1:9" x14ac:dyDescent="0.25">
      <c r="A6" s="76" t="s">
        <v>479</v>
      </c>
      <c r="C6" s="76"/>
      <c r="D6" s="76"/>
      <c r="E6" s="76"/>
      <c r="F6" s="76"/>
      <c r="G6" s="76"/>
      <c r="H6" s="76"/>
      <c r="I6" s="76"/>
    </row>
    <row r="7" spans="1:9" x14ac:dyDescent="0.25">
      <c r="A7" s="76" t="s">
        <v>480</v>
      </c>
      <c r="B7">
        <v>12</v>
      </c>
      <c r="C7" s="76" t="s">
        <v>481</v>
      </c>
      <c r="D7" s="76" t="s">
        <v>482</v>
      </c>
      <c r="E7" s="76" t="s">
        <v>483</v>
      </c>
      <c r="F7" s="76" t="s">
        <v>484</v>
      </c>
      <c r="G7" s="76" t="s">
        <v>485</v>
      </c>
      <c r="H7" s="76" t="s">
        <v>486</v>
      </c>
      <c r="I7" s="76" t="s">
        <v>470</v>
      </c>
    </row>
    <row r="8" spans="1:9" x14ac:dyDescent="0.25">
      <c r="A8" s="76" t="s">
        <v>487</v>
      </c>
      <c r="B8">
        <v>33</v>
      </c>
      <c r="C8" s="76" t="s">
        <v>488</v>
      </c>
      <c r="D8" s="76" t="s">
        <v>482</v>
      </c>
      <c r="E8" s="76" t="s">
        <v>483</v>
      </c>
      <c r="F8" s="76" t="s">
        <v>484</v>
      </c>
      <c r="G8" s="76" t="s">
        <v>485</v>
      </c>
      <c r="H8" s="76" t="s">
        <v>486</v>
      </c>
      <c r="I8" s="76" t="s">
        <v>470</v>
      </c>
    </row>
    <row r="9" spans="1:9" x14ac:dyDescent="0.25">
      <c r="A9" s="76" t="s">
        <v>489</v>
      </c>
      <c r="B9">
        <v>40</v>
      </c>
      <c r="C9" s="76" t="s">
        <v>481</v>
      </c>
      <c r="D9" s="76" t="s">
        <v>482</v>
      </c>
      <c r="E9" s="76" t="s">
        <v>483</v>
      </c>
      <c r="F9" s="76" t="s">
        <v>484</v>
      </c>
      <c r="G9" s="76" t="s">
        <v>490</v>
      </c>
      <c r="H9" s="76" t="s">
        <v>486</v>
      </c>
      <c r="I9" s="76" t="s">
        <v>470</v>
      </c>
    </row>
    <row r="10" spans="1:9" x14ac:dyDescent="0.25">
      <c r="A10" s="76" t="s">
        <v>491</v>
      </c>
      <c r="B10">
        <v>45</v>
      </c>
      <c r="C10" s="76" t="s">
        <v>481</v>
      </c>
      <c r="D10" s="76" t="s">
        <v>482</v>
      </c>
      <c r="E10" s="76" t="s">
        <v>483</v>
      </c>
      <c r="F10" s="76" t="s">
        <v>484</v>
      </c>
      <c r="G10" s="76" t="s">
        <v>492</v>
      </c>
      <c r="H10" s="76" t="s">
        <v>486</v>
      </c>
      <c r="I10" s="76" t="s">
        <v>470</v>
      </c>
    </row>
    <row r="11" spans="1:9" x14ac:dyDescent="0.25">
      <c r="A11" s="76" t="s">
        <v>493</v>
      </c>
      <c r="C11" s="76"/>
      <c r="D11" s="76"/>
      <c r="E11" s="76"/>
      <c r="F11" s="76"/>
      <c r="G11" s="76"/>
      <c r="H11" s="76"/>
      <c r="I11" s="76"/>
    </row>
    <row r="12" spans="1:9" x14ac:dyDescent="0.25">
      <c r="A12" s="76" t="s">
        <v>494</v>
      </c>
      <c r="B12">
        <v>70</v>
      </c>
      <c r="C12" s="76" t="s">
        <v>464</v>
      </c>
      <c r="D12" s="76" t="s">
        <v>495</v>
      </c>
      <c r="E12" s="76" t="s">
        <v>496</v>
      </c>
      <c r="F12" s="76" t="s">
        <v>497</v>
      </c>
      <c r="G12" s="76" t="s">
        <v>498</v>
      </c>
      <c r="H12" s="76" t="s">
        <v>499</v>
      </c>
      <c r="I12" s="76" t="s">
        <v>500</v>
      </c>
    </row>
    <row r="13" spans="1:9" x14ac:dyDescent="0.25">
      <c r="A13" s="76" t="s">
        <v>501</v>
      </c>
      <c r="B13">
        <v>80</v>
      </c>
      <c r="C13" s="76" t="s">
        <v>464</v>
      </c>
      <c r="D13" s="76" t="s">
        <v>502</v>
      </c>
      <c r="E13" s="76" t="s">
        <v>503</v>
      </c>
      <c r="F13" s="76" t="s">
        <v>504</v>
      </c>
      <c r="G13" s="76" t="s">
        <v>505</v>
      </c>
      <c r="H13" s="76" t="s">
        <v>499</v>
      </c>
      <c r="I13" s="76" t="s">
        <v>500</v>
      </c>
    </row>
    <row r="14" spans="1:9" x14ac:dyDescent="0.25">
      <c r="A14" s="76" t="s">
        <v>506</v>
      </c>
      <c r="C14" s="76"/>
      <c r="D14" s="76"/>
      <c r="E14" s="76"/>
      <c r="F14" s="76"/>
      <c r="G14" s="76"/>
      <c r="H14" s="76"/>
      <c r="I14" s="76"/>
    </row>
    <row r="15" spans="1:9" x14ac:dyDescent="0.25">
      <c r="A15" s="76" t="s">
        <v>507</v>
      </c>
      <c r="B15">
        <v>80</v>
      </c>
      <c r="C15" s="76" t="s">
        <v>464</v>
      </c>
      <c r="D15" s="76" t="s">
        <v>508</v>
      </c>
      <c r="E15" s="76" t="s">
        <v>509</v>
      </c>
      <c r="F15" s="76" t="s">
        <v>510</v>
      </c>
      <c r="G15" s="76" t="s">
        <v>511</v>
      </c>
      <c r="H15" s="76" t="s">
        <v>499</v>
      </c>
      <c r="I15" s="76" t="s">
        <v>500</v>
      </c>
    </row>
    <row r="16" spans="1:9" x14ac:dyDescent="0.25">
      <c r="A16" s="76" t="s">
        <v>512</v>
      </c>
      <c r="C16" s="76"/>
      <c r="D16" s="76"/>
      <c r="E16" s="76"/>
      <c r="F16" s="76"/>
      <c r="G16" s="76"/>
      <c r="H16" s="76"/>
      <c r="I16" s="76"/>
    </row>
    <row r="17" spans="1:9" x14ac:dyDescent="0.25">
      <c r="A17" s="76" t="s">
        <v>513</v>
      </c>
      <c r="B17">
        <v>0.2</v>
      </c>
      <c r="C17" s="76" t="s">
        <v>127</v>
      </c>
      <c r="D17" s="76" t="s">
        <v>514</v>
      </c>
      <c r="E17" s="76" t="s">
        <v>515</v>
      </c>
      <c r="F17" s="76" t="s">
        <v>516</v>
      </c>
      <c r="G17" s="76" t="s">
        <v>517</v>
      </c>
      <c r="H17" s="76" t="s">
        <v>499</v>
      </c>
      <c r="I17" s="76" t="s">
        <v>518</v>
      </c>
    </row>
    <row r="18" spans="1:9" x14ac:dyDescent="0.25">
      <c r="A18" s="76" t="s">
        <v>519</v>
      </c>
      <c r="B18">
        <v>0.18</v>
      </c>
      <c r="C18" s="76" t="s">
        <v>127</v>
      </c>
      <c r="D18" s="76" t="s">
        <v>514</v>
      </c>
      <c r="E18" s="76" t="s">
        <v>515</v>
      </c>
      <c r="F18" s="76" t="s">
        <v>516</v>
      </c>
      <c r="G18" s="76" t="s">
        <v>517</v>
      </c>
      <c r="H18" s="76" t="s">
        <v>499</v>
      </c>
      <c r="I18" s="76" t="s">
        <v>518</v>
      </c>
    </row>
    <row r="19" spans="1:9" x14ac:dyDescent="0.25">
      <c r="A19" s="76" t="s">
        <v>520</v>
      </c>
      <c r="B19">
        <v>0.12</v>
      </c>
      <c r="C19" s="76" t="s">
        <v>127</v>
      </c>
      <c r="D19" s="76" t="s">
        <v>514</v>
      </c>
      <c r="E19" s="76" t="s">
        <v>515</v>
      </c>
      <c r="F19" s="76" t="s">
        <v>516</v>
      </c>
      <c r="G19" s="76" t="s">
        <v>517</v>
      </c>
      <c r="H19" s="76" t="s">
        <v>499</v>
      </c>
      <c r="I19" s="76" t="s">
        <v>518</v>
      </c>
    </row>
    <row r="20" spans="1:9" x14ac:dyDescent="0.25">
      <c r="A20" s="76" t="s">
        <v>521</v>
      </c>
      <c r="B20">
        <v>1.8</v>
      </c>
      <c r="C20" s="76" t="s">
        <v>127</v>
      </c>
      <c r="D20" s="76" t="s">
        <v>474</v>
      </c>
      <c r="E20" s="76" t="s">
        <v>475</v>
      </c>
      <c r="F20" s="76" t="s">
        <v>476</v>
      </c>
      <c r="G20" s="76" t="s">
        <v>522</v>
      </c>
      <c r="H20" s="76" t="s">
        <v>499</v>
      </c>
      <c r="I20" s="76" t="s">
        <v>523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10BF4-4CFC-42C6-A9A6-1A65F157A6DB}">
  <sheetPr>
    <tabColor rgb="FFBFBFBF"/>
  </sheetPr>
  <dimension ref="A1:G37"/>
  <sheetViews>
    <sheetView workbookViewId="0">
      <selection activeCell="D14" sqref="D14"/>
    </sheetView>
  </sheetViews>
  <sheetFormatPr defaultRowHeight="15" x14ac:dyDescent="0.25"/>
  <cols>
    <col min="1" max="1" width="43.28515625" bestFit="1" customWidth="1"/>
    <col min="2" max="2" width="14.42578125" bestFit="1" customWidth="1"/>
    <col min="3" max="3" width="7.140625" bestFit="1" customWidth="1"/>
    <col min="4" max="4" width="81.140625" bestFit="1" customWidth="1"/>
    <col min="5" max="5" width="17.28515625" bestFit="1" customWidth="1"/>
    <col min="6" max="6" width="17.7109375" bestFit="1" customWidth="1"/>
    <col min="7" max="7" width="10.42578125" bestFit="1" customWidth="1"/>
  </cols>
  <sheetData>
    <row r="1" spans="1:7" x14ac:dyDescent="0.25">
      <c r="A1" t="s">
        <v>456</v>
      </c>
      <c r="B1" t="s">
        <v>88</v>
      </c>
      <c r="C1" t="s">
        <v>89</v>
      </c>
      <c r="D1" t="s">
        <v>527</v>
      </c>
      <c r="E1" t="s">
        <v>458</v>
      </c>
      <c r="F1" t="s">
        <v>528</v>
      </c>
      <c r="G1" t="s">
        <v>529</v>
      </c>
    </row>
    <row r="2" spans="1:7" x14ac:dyDescent="0.25">
      <c r="A2" s="76" t="s">
        <v>530</v>
      </c>
      <c r="C2" s="76"/>
      <c r="D2" s="76"/>
      <c r="E2" s="76"/>
      <c r="F2" s="76"/>
      <c r="G2" s="76"/>
    </row>
    <row r="3" spans="1:7" x14ac:dyDescent="0.25">
      <c r="A3" s="76" t="s">
        <v>531</v>
      </c>
      <c r="B3">
        <v>0.14000000000000001</v>
      </c>
      <c r="C3" s="76"/>
      <c r="D3" s="76" t="s">
        <v>532</v>
      </c>
      <c r="E3" s="76" t="s">
        <v>533</v>
      </c>
      <c r="F3" s="76"/>
      <c r="G3" s="76" t="s">
        <v>9</v>
      </c>
    </row>
    <row r="4" spans="1:7" x14ac:dyDescent="0.25">
      <c r="A4" s="76" t="s">
        <v>534</v>
      </c>
      <c r="B4">
        <v>0.25</v>
      </c>
      <c r="C4" s="76"/>
      <c r="D4" s="76" t="s">
        <v>535</v>
      </c>
      <c r="E4" s="76" t="s">
        <v>533</v>
      </c>
      <c r="F4" s="76"/>
      <c r="G4" s="76" t="s">
        <v>9</v>
      </c>
    </row>
    <row r="5" spans="1:7" x14ac:dyDescent="0.25">
      <c r="A5" s="76" t="s">
        <v>536</v>
      </c>
      <c r="C5" s="76"/>
      <c r="D5" s="76"/>
      <c r="E5" s="76"/>
      <c r="F5" s="76"/>
      <c r="G5" s="76"/>
    </row>
    <row r="6" spans="1:7" x14ac:dyDescent="0.25">
      <c r="A6" s="76" t="s">
        <v>537</v>
      </c>
      <c r="B6">
        <v>25</v>
      </c>
      <c r="C6" s="76"/>
      <c r="D6" s="76" t="s">
        <v>538</v>
      </c>
      <c r="E6" s="76" t="s">
        <v>533</v>
      </c>
      <c r="F6" s="76"/>
      <c r="G6" s="76" t="s">
        <v>9</v>
      </c>
    </row>
    <row r="7" spans="1:7" x14ac:dyDescent="0.25">
      <c r="A7" s="76" t="s">
        <v>539</v>
      </c>
      <c r="B7">
        <v>35</v>
      </c>
      <c r="C7" s="76"/>
      <c r="D7" s="76" t="s">
        <v>540</v>
      </c>
      <c r="E7" s="76" t="s">
        <v>533</v>
      </c>
      <c r="F7" s="76"/>
      <c r="G7" s="76" t="s">
        <v>9</v>
      </c>
    </row>
    <row r="8" spans="1:7" x14ac:dyDescent="0.25">
      <c r="A8" s="76" t="s">
        <v>541</v>
      </c>
      <c r="B8">
        <v>3</v>
      </c>
      <c r="C8" s="76"/>
      <c r="D8" s="76" t="s">
        <v>542</v>
      </c>
      <c r="E8" s="76" t="s">
        <v>533</v>
      </c>
      <c r="F8" s="76"/>
      <c r="G8" s="76" t="s">
        <v>9</v>
      </c>
    </row>
    <row r="9" spans="1:7" x14ac:dyDescent="0.25">
      <c r="A9" s="76" t="s">
        <v>543</v>
      </c>
      <c r="B9" t="s">
        <v>544</v>
      </c>
      <c r="C9" s="76"/>
      <c r="D9" s="76" t="s">
        <v>545</v>
      </c>
      <c r="E9" s="76" t="s">
        <v>533</v>
      </c>
      <c r="F9" s="76"/>
      <c r="G9" s="76" t="s">
        <v>9</v>
      </c>
    </row>
    <row r="10" spans="1:7" x14ac:dyDescent="0.25">
      <c r="A10" s="76" t="s">
        <v>546</v>
      </c>
      <c r="B10" t="s">
        <v>547</v>
      </c>
      <c r="C10" s="76"/>
      <c r="D10" s="76" t="s">
        <v>548</v>
      </c>
      <c r="E10" s="76" t="s">
        <v>533</v>
      </c>
      <c r="F10" s="76"/>
      <c r="G10" s="76" t="s">
        <v>9</v>
      </c>
    </row>
    <row r="11" spans="1:7" x14ac:dyDescent="0.25">
      <c r="A11" s="76" t="s">
        <v>549</v>
      </c>
      <c r="C11" s="76"/>
      <c r="D11" s="76"/>
      <c r="E11" s="76"/>
      <c r="F11" s="76"/>
      <c r="G11" s="76"/>
    </row>
    <row r="12" spans="1:7" x14ac:dyDescent="0.25">
      <c r="A12" s="76" t="s">
        <v>550</v>
      </c>
      <c r="B12">
        <v>8</v>
      </c>
      <c r="C12" s="76"/>
      <c r="D12" s="76" t="s">
        <v>551</v>
      </c>
      <c r="E12" s="76" t="s">
        <v>533</v>
      </c>
      <c r="F12" s="76" t="s">
        <v>552</v>
      </c>
      <c r="G12" s="76" t="s">
        <v>9</v>
      </c>
    </row>
    <row r="13" spans="1:7" x14ac:dyDescent="0.25">
      <c r="A13" s="76" t="s">
        <v>553</v>
      </c>
      <c r="B13">
        <v>2</v>
      </c>
      <c r="C13" s="76"/>
      <c r="D13" s="76" t="s">
        <v>554</v>
      </c>
      <c r="E13" s="76" t="s">
        <v>533</v>
      </c>
      <c r="F13" s="76" t="s">
        <v>552</v>
      </c>
      <c r="G13" s="76" t="s">
        <v>9</v>
      </c>
    </row>
    <row r="14" spans="1:7" x14ac:dyDescent="0.25">
      <c r="A14" s="76" t="s">
        <v>555</v>
      </c>
      <c r="B14">
        <v>0.1</v>
      </c>
      <c r="C14" s="76"/>
      <c r="D14" s="76" t="s">
        <v>556</v>
      </c>
      <c r="E14" s="76" t="s">
        <v>533</v>
      </c>
      <c r="F14" s="76" t="s">
        <v>552</v>
      </c>
      <c r="G14" s="76" t="s">
        <v>9</v>
      </c>
    </row>
    <row r="15" spans="1:7" x14ac:dyDescent="0.25">
      <c r="A15" s="76" t="s">
        <v>557</v>
      </c>
      <c r="B15">
        <v>0.2</v>
      </c>
      <c r="C15" s="76"/>
      <c r="D15" s="76" t="s">
        <v>558</v>
      </c>
      <c r="E15" s="76" t="s">
        <v>533</v>
      </c>
      <c r="F15" s="76" t="s">
        <v>552</v>
      </c>
      <c r="G15" s="76" t="s">
        <v>9</v>
      </c>
    </row>
    <row r="16" spans="1:7" x14ac:dyDescent="0.25">
      <c r="A16" s="76" t="s">
        <v>559</v>
      </c>
      <c r="B16">
        <v>1</v>
      </c>
      <c r="C16" s="76"/>
      <c r="D16" s="76" t="s">
        <v>560</v>
      </c>
      <c r="E16" s="76" t="s">
        <v>533</v>
      </c>
      <c r="F16" s="76"/>
      <c r="G16" s="76" t="s">
        <v>9</v>
      </c>
    </row>
    <row r="17" spans="1:7" x14ac:dyDescent="0.25">
      <c r="A17" s="76" t="s">
        <v>561</v>
      </c>
      <c r="B17">
        <v>5</v>
      </c>
      <c r="C17" s="76"/>
      <c r="D17" s="76" t="s">
        <v>562</v>
      </c>
      <c r="E17" s="76" t="s">
        <v>533</v>
      </c>
      <c r="F17" s="76" t="s">
        <v>552</v>
      </c>
      <c r="G17" s="76" t="s">
        <v>9</v>
      </c>
    </row>
    <row r="18" spans="1:7" x14ac:dyDescent="0.25">
      <c r="A18" s="76" t="s">
        <v>563</v>
      </c>
      <c r="C18" s="76"/>
      <c r="D18" s="76"/>
      <c r="E18" s="76"/>
      <c r="F18" s="76"/>
      <c r="G18" s="76"/>
    </row>
    <row r="19" spans="1:7" x14ac:dyDescent="0.25">
      <c r="A19" s="76" t="s">
        <v>564</v>
      </c>
      <c r="B19">
        <v>25</v>
      </c>
      <c r="C19" s="76"/>
      <c r="D19" s="76" t="s">
        <v>565</v>
      </c>
      <c r="E19" s="76" t="s">
        <v>533</v>
      </c>
      <c r="F19" s="76" t="s">
        <v>552</v>
      </c>
      <c r="G19" s="76" t="s">
        <v>9</v>
      </c>
    </row>
    <row r="20" spans="1:7" x14ac:dyDescent="0.25">
      <c r="A20" s="76" t="s">
        <v>566</v>
      </c>
      <c r="B20">
        <v>0</v>
      </c>
      <c r="C20" s="76"/>
      <c r="D20" s="76" t="s">
        <v>567</v>
      </c>
      <c r="E20" s="76" t="s">
        <v>533</v>
      </c>
      <c r="F20" s="76" t="s">
        <v>552</v>
      </c>
      <c r="G20" s="76" t="s">
        <v>9</v>
      </c>
    </row>
    <row r="21" spans="1:7" x14ac:dyDescent="0.25">
      <c r="A21" s="76" t="s">
        <v>568</v>
      </c>
      <c r="B21">
        <v>0</v>
      </c>
      <c r="C21" s="76"/>
      <c r="D21" s="76" t="s">
        <v>569</v>
      </c>
      <c r="E21" s="76" t="s">
        <v>533</v>
      </c>
      <c r="F21" s="76" t="s">
        <v>552</v>
      </c>
      <c r="G21" s="76" t="s">
        <v>9</v>
      </c>
    </row>
    <row r="22" spans="1:7" x14ac:dyDescent="0.25">
      <c r="A22" s="76" t="s">
        <v>570</v>
      </c>
      <c r="B22">
        <v>3</v>
      </c>
      <c r="C22" s="76"/>
      <c r="D22" s="76" t="s">
        <v>571</v>
      </c>
      <c r="E22" s="76" t="s">
        <v>533</v>
      </c>
      <c r="F22" s="76"/>
      <c r="G22" s="76" t="s">
        <v>9</v>
      </c>
    </row>
    <row r="23" spans="1:7" x14ac:dyDescent="0.25">
      <c r="A23" s="76" t="s">
        <v>572</v>
      </c>
      <c r="B23">
        <v>5</v>
      </c>
      <c r="C23" s="76"/>
      <c r="D23" s="76" t="s">
        <v>573</v>
      </c>
      <c r="E23" s="76" t="s">
        <v>533</v>
      </c>
      <c r="F23" s="76"/>
      <c r="G23" s="76" t="s">
        <v>9</v>
      </c>
    </row>
    <row r="24" spans="1:7" x14ac:dyDescent="0.25">
      <c r="A24" s="76" t="s">
        <v>574</v>
      </c>
      <c r="B24">
        <v>7</v>
      </c>
      <c r="C24" s="76"/>
      <c r="D24" s="76" t="s">
        <v>575</v>
      </c>
      <c r="E24" s="76" t="s">
        <v>533</v>
      </c>
      <c r="F24" s="76"/>
      <c r="G24" s="76" t="s">
        <v>9</v>
      </c>
    </row>
    <row r="25" spans="1:7" x14ac:dyDescent="0.25">
      <c r="A25" s="76" t="s">
        <v>576</v>
      </c>
      <c r="C25" s="76"/>
      <c r="D25" s="76"/>
      <c r="E25" s="76"/>
      <c r="F25" s="76"/>
      <c r="G25" s="76"/>
    </row>
    <row r="26" spans="1:7" x14ac:dyDescent="0.25">
      <c r="A26" s="76" t="s">
        <v>577</v>
      </c>
      <c r="B26">
        <v>0.5</v>
      </c>
      <c r="C26" s="76"/>
      <c r="D26" s="76" t="s">
        <v>123</v>
      </c>
      <c r="E26" s="76" t="s">
        <v>533</v>
      </c>
      <c r="F26" s="76"/>
      <c r="G26" s="76" t="s">
        <v>9</v>
      </c>
    </row>
    <row r="27" spans="1:7" x14ac:dyDescent="0.25">
      <c r="A27" s="76" t="s">
        <v>578</v>
      </c>
      <c r="B27">
        <v>0.3</v>
      </c>
      <c r="C27" s="76"/>
      <c r="D27" s="76" t="s">
        <v>579</v>
      </c>
      <c r="E27" s="76" t="s">
        <v>533</v>
      </c>
      <c r="F27" s="76"/>
      <c r="G27" s="76" t="s">
        <v>9</v>
      </c>
    </row>
    <row r="28" spans="1:7" x14ac:dyDescent="0.25">
      <c r="A28" s="76" t="s">
        <v>580</v>
      </c>
      <c r="C28" s="76"/>
      <c r="D28" s="76"/>
      <c r="E28" s="76"/>
      <c r="F28" s="76"/>
      <c r="G28" s="76"/>
    </row>
    <row r="29" spans="1:7" x14ac:dyDescent="0.25">
      <c r="A29" s="76" t="s">
        <v>581</v>
      </c>
      <c r="C29" s="76"/>
      <c r="D29" s="76"/>
      <c r="E29" s="76" t="s">
        <v>533</v>
      </c>
      <c r="F29" s="76"/>
      <c r="G29" s="76"/>
    </row>
    <row r="30" spans="1:7" x14ac:dyDescent="0.25">
      <c r="A30" s="76" t="s">
        <v>582</v>
      </c>
      <c r="C30" s="76"/>
      <c r="D30" s="76"/>
      <c r="E30" s="76"/>
      <c r="F30" s="76"/>
      <c r="G30" s="76"/>
    </row>
    <row r="31" spans="1:7" x14ac:dyDescent="0.25">
      <c r="A31" s="76" t="s">
        <v>583</v>
      </c>
      <c r="C31" s="76"/>
      <c r="D31" s="76" t="s">
        <v>584</v>
      </c>
      <c r="E31" s="76" t="s">
        <v>533</v>
      </c>
      <c r="F31" s="76"/>
      <c r="G31" s="76"/>
    </row>
    <row r="32" spans="1:7" x14ac:dyDescent="0.25">
      <c r="A32" s="76" t="s">
        <v>585</v>
      </c>
      <c r="C32" s="76"/>
      <c r="D32" s="76"/>
      <c r="E32" s="76"/>
      <c r="F32" s="76"/>
      <c r="G32" s="76"/>
    </row>
    <row r="33" spans="1:7" x14ac:dyDescent="0.25">
      <c r="A33" s="76" t="s">
        <v>586</v>
      </c>
      <c r="B33">
        <v>2.5</v>
      </c>
      <c r="C33" s="76"/>
      <c r="D33" s="76" t="s">
        <v>587</v>
      </c>
      <c r="E33" s="76" t="s">
        <v>533</v>
      </c>
      <c r="F33" s="76" t="s">
        <v>552</v>
      </c>
      <c r="G33" s="76" t="s">
        <v>588</v>
      </c>
    </row>
    <row r="34" spans="1:7" x14ac:dyDescent="0.25">
      <c r="A34" s="76" t="s">
        <v>589</v>
      </c>
      <c r="B34">
        <v>3</v>
      </c>
      <c r="C34" s="76"/>
      <c r="D34" s="76" t="s">
        <v>590</v>
      </c>
      <c r="E34" s="76" t="s">
        <v>533</v>
      </c>
      <c r="F34" s="76" t="s">
        <v>552</v>
      </c>
      <c r="G34" s="76" t="s">
        <v>588</v>
      </c>
    </row>
    <row r="35" spans="1:7" x14ac:dyDescent="0.25">
      <c r="A35" s="76" t="s">
        <v>591</v>
      </c>
      <c r="B35">
        <v>0.1</v>
      </c>
      <c r="C35" s="76"/>
      <c r="D35" s="76" t="s">
        <v>592</v>
      </c>
      <c r="E35" s="76" t="s">
        <v>533</v>
      </c>
      <c r="F35" s="76" t="s">
        <v>552</v>
      </c>
      <c r="G35" s="76" t="s">
        <v>588</v>
      </c>
    </row>
    <row r="36" spans="1:7" x14ac:dyDescent="0.25">
      <c r="A36" s="76" t="s">
        <v>593</v>
      </c>
      <c r="B36">
        <v>0.7</v>
      </c>
      <c r="C36" s="76"/>
      <c r="D36" s="76" t="s">
        <v>594</v>
      </c>
      <c r="E36" s="76" t="s">
        <v>533</v>
      </c>
      <c r="F36" s="76" t="s">
        <v>552</v>
      </c>
      <c r="G36" s="76" t="s">
        <v>588</v>
      </c>
    </row>
    <row r="37" spans="1:7" x14ac:dyDescent="0.25">
      <c r="A37" s="76" t="s">
        <v>595</v>
      </c>
      <c r="B37">
        <v>0.5</v>
      </c>
      <c r="C37" s="76"/>
      <c r="D37" s="76" t="s">
        <v>596</v>
      </c>
      <c r="E37" s="76" t="s">
        <v>533</v>
      </c>
      <c r="F37" s="76" t="s">
        <v>552</v>
      </c>
      <c r="G37" s="76" t="s">
        <v>588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08080"/>
  </sheetPr>
  <dimension ref="A1:J31"/>
  <sheetViews>
    <sheetView showGridLines="0" workbookViewId="0">
      <pane ySplit="3" topLeftCell="A6" activePane="bottomLeft" state="frozen"/>
      <selection pane="bottomLeft"/>
    </sheetView>
  </sheetViews>
  <sheetFormatPr defaultRowHeight="15" x14ac:dyDescent="0.25"/>
  <cols>
    <col min="1" max="1" width="40" customWidth="1"/>
    <col min="2" max="3" width="14" customWidth="1"/>
    <col min="4" max="4" width="50" customWidth="1"/>
  </cols>
  <sheetData>
    <row r="1" spans="1:10" ht="18" x14ac:dyDescent="0.25">
      <c r="A1" s="1" t="s">
        <v>68</v>
      </c>
      <c r="J1" s="2" t="s">
        <v>1</v>
      </c>
    </row>
    <row r="3" spans="1:10" x14ac:dyDescent="0.25">
      <c r="A3" s="6" t="s">
        <v>409</v>
      </c>
    </row>
    <row r="4" spans="1:10" x14ac:dyDescent="0.25">
      <c r="A4" s="8" t="s">
        <v>410</v>
      </c>
      <c r="B4" s="8" t="s">
        <v>92</v>
      </c>
      <c r="C4" s="8" t="s">
        <v>91</v>
      </c>
      <c r="D4" s="8" t="s">
        <v>90</v>
      </c>
    </row>
    <row r="5" spans="1:10" x14ac:dyDescent="0.25">
      <c r="A5" s="15" t="s">
        <v>95</v>
      </c>
      <c r="B5" s="9" t="s">
        <v>99</v>
      </c>
      <c r="C5" s="9" t="s">
        <v>98</v>
      </c>
      <c r="D5" s="14" t="s">
        <v>97</v>
      </c>
    </row>
    <row r="6" spans="1:10" ht="24" x14ac:dyDescent="0.25">
      <c r="A6" s="15" t="s">
        <v>411</v>
      </c>
      <c r="B6" s="9" t="s">
        <v>102</v>
      </c>
      <c r="C6" s="9" t="s">
        <v>9</v>
      </c>
      <c r="D6" s="14" t="s">
        <v>128</v>
      </c>
    </row>
    <row r="7" spans="1:10" x14ac:dyDescent="0.25">
      <c r="A7" s="15" t="s">
        <v>268</v>
      </c>
      <c r="B7" s="9" t="s">
        <v>102</v>
      </c>
      <c r="C7" s="9" t="s">
        <v>9</v>
      </c>
      <c r="D7" s="14" t="s">
        <v>123</v>
      </c>
    </row>
    <row r="8" spans="1:10" ht="24" x14ac:dyDescent="0.25">
      <c r="A8" s="15" t="s">
        <v>412</v>
      </c>
      <c r="B8" s="9" t="s">
        <v>102</v>
      </c>
      <c r="C8" s="9" t="s">
        <v>133</v>
      </c>
      <c r="D8" s="14" t="s">
        <v>132</v>
      </c>
    </row>
    <row r="9" spans="1:10" ht="36" x14ac:dyDescent="0.25">
      <c r="A9" s="15" t="s">
        <v>413</v>
      </c>
      <c r="B9" s="9" t="s">
        <v>102</v>
      </c>
      <c r="C9" s="9" t="s">
        <v>133</v>
      </c>
      <c r="D9" s="14" t="s">
        <v>135</v>
      </c>
    </row>
    <row r="10" spans="1:10" ht="24" x14ac:dyDescent="0.25">
      <c r="A10" s="15" t="s">
        <v>414</v>
      </c>
      <c r="B10" s="9" t="s">
        <v>102</v>
      </c>
      <c r="C10" s="9" t="s">
        <v>133</v>
      </c>
      <c r="D10" s="14" t="s">
        <v>137</v>
      </c>
    </row>
    <row r="11" spans="1:10" ht="24" x14ac:dyDescent="0.25">
      <c r="A11" s="15" t="s">
        <v>415</v>
      </c>
      <c r="B11" s="9" t="s">
        <v>102</v>
      </c>
      <c r="C11" s="9" t="s">
        <v>9</v>
      </c>
      <c r="D11" s="14" t="s">
        <v>140</v>
      </c>
    </row>
    <row r="13" spans="1:10" ht="36" x14ac:dyDescent="0.25">
      <c r="A13" s="14" t="s">
        <v>416</v>
      </c>
    </row>
    <row r="15" spans="1:10" x14ac:dyDescent="0.25">
      <c r="A15" s="6" t="s">
        <v>417</v>
      </c>
    </row>
    <row r="16" spans="1:10" ht="24" x14ac:dyDescent="0.25">
      <c r="A16" s="3" t="s">
        <v>418</v>
      </c>
      <c r="D16" s="14" t="s">
        <v>419</v>
      </c>
    </row>
    <row r="17" spans="1:4" ht="24" x14ac:dyDescent="0.25">
      <c r="A17" s="3" t="s">
        <v>420</v>
      </c>
      <c r="D17" s="14" t="s">
        <v>421</v>
      </c>
    </row>
    <row r="18" spans="1:4" ht="24" x14ac:dyDescent="0.25">
      <c r="A18" s="3" t="s">
        <v>422</v>
      </c>
      <c r="D18" s="14" t="s">
        <v>423</v>
      </c>
    </row>
    <row r="19" spans="1:4" ht="36" x14ac:dyDescent="0.25">
      <c r="A19" s="3" t="s">
        <v>424</v>
      </c>
      <c r="D19" s="14" t="s">
        <v>425</v>
      </c>
    </row>
    <row r="20" spans="1:4" ht="36" x14ac:dyDescent="0.25">
      <c r="A20" s="3" t="s">
        <v>272</v>
      </c>
      <c r="D20" s="14" t="s">
        <v>426</v>
      </c>
    </row>
    <row r="21" spans="1:4" ht="36" x14ac:dyDescent="0.25">
      <c r="A21" s="3" t="s">
        <v>427</v>
      </c>
      <c r="D21" s="14" t="s">
        <v>428</v>
      </c>
    </row>
    <row r="22" spans="1:4" ht="48" x14ac:dyDescent="0.25">
      <c r="A22" s="3" t="s">
        <v>429</v>
      </c>
      <c r="D22" s="14" t="s">
        <v>430</v>
      </c>
    </row>
    <row r="23" spans="1:4" ht="36" x14ac:dyDescent="0.25">
      <c r="A23" s="3" t="s">
        <v>431</v>
      </c>
      <c r="D23" s="14" t="s">
        <v>432</v>
      </c>
    </row>
    <row r="24" spans="1:4" ht="24" x14ac:dyDescent="0.25">
      <c r="A24" s="3" t="s">
        <v>433</v>
      </c>
      <c r="D24" s="14" t="s">
        <v>434</v>
      </c>
    </row>
    <row r="25" spans="1:4" ht="24" x14ac:dyDescent="0.25">
      <c r="A25" s="3" t="s">
        <v>435</v>
      </c>
      <c r="D25" s="14" t="s">
        <v>436</v>
      </c>
    </row>
    <row r="26" spans="1:4" ht="24" x14ac:dyDescent="0.25">
      <c r="A26" s="3" t="s">
        <v>437</v>
      </c>
      <c r="D26" s="14" t="s">
        <v>438</v>
      </c>
    </row>
    <row r="27" spans="1:4" ht="24" x14ac:dyDescent="0.25">
      <c r="A27" s="3" t="s">
        <v>439</v>
      </c>
      <c r="D27" s="14" t="s">
        <v>440</v>
      </c>
    </row>
    <row r="28" spans="1:4" ht="36" x14ac:dyDescent="0.25">
      <c r="A28" s="3" t="s">
        <v>441</v>
      </c>
      <c r="D28" s="14" t="s">
        <v>442</v>
      </c>
    </row>
    <row r="29" spans="1:4" ht="24" x14ac:dyDescent="0.25">
      <c r="A29" s="3" t="s">
        <v>443</v>
      </c>
      <c r="D29" s="14" t="s">
        <v>444</v>
      </c>
    </row>
    <row r="30" spans="1:4" ht="24" x14ac:dyDescent="0.25">
      <c r="A30" s="3" t="s">
        <v>445</v>
      </c>
      <c r="D30" s="14" t="s">
        <v>446</v>
      </c>
    </row>
    <row r="31" spans="1:4" ht="24" x14ac:dyDescent="0.25">
      <c r="A31" s="3" t="s">
        <v>447</v>
      </c>
      <c r="D31" s="14" t="s">
        <v>448</v>
      </c>
    </row>
  </sheetData>
  <hyperlinks>
    <hyperlink ref="J1" location="'Contents'!A1" display="↩ Contents" xr:uid="{00000000-0004-0000-0E00-000000000000}"/>
  </hyperlink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E386C18-D38F-43FD-B732-9E2902C7AC0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Cover</vt:lpstr>
      <vt:lpstr>Contents</vt:lpstr>
      <vt:lpstr>Change Log</vt:lpstr>
      <vt:lpstr>Inputs</vt:lpstr>
      <vt:lpstr>Timeline</vt:lpstr>
      <vt:lpstr>Scenarios</vt:lpstr>
      <vt:lpstr>Calc_Survival</vt:lpstr>
      <vt:lpstr>Calc_Project_rNPV</vt:lpstr>
      <vt:lpstr>Calc_Company</vt:lpstr>
      <vt:lpstr>Returns</vt:lpstr>
      <vt:lpstr>Calc_CrossChecks</vt:lpstr>
      <vt:lpstr>Sensitivity</vt:lpstr>
      <vt:lpstr>Checks</vt:lpstr>
      <vt:lpstr>Dashboard</vt:lpstr>
      <vt:lpstr>Raw_Inputs</vt:lpstr>
      <vt:lpstr>Raw_Assumptions</vt:lpstr>
      <vt:lpstr>Inputs (2)</vt:lpstr>
      <vt:lpstr>Assumptions (2)</vt:lpstr>
      <vt:lpstr>Sources &amp; Glossary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e33254</cp:lastModifiedBy>
  <dcterms:created xsi:type="dcterms:W3CDTF">2026-06-30T04:59:20Z</dcterms:created>
  <dcterms:modified xsi:type="dcterms:W3CDTF">2026-06-30T06:15:03Z</dcterms:modified>
</cp:coreProperties>
</file>