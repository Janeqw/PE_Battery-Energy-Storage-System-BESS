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Fund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;($#,##0.0);&quot;–&quot;"/>
    <numFmt numFmtId="166" formatCode="$#,##0.00;($#,##0.00);&quot;–&quot;"/>
    <numFmt numFmtId="167" formatCode="$#,##0.000"/>
    <numFmt numFmtId="168" formatCode="#,##0.0"/>
    <numFmt numFmtId="169" formatCode="0.000"/>
    <numFmt numFmtId="170" formatCode="0.00&quot;x&quot;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i val="1"/>
      <color rgb="00FF0000"/>
      <sz val="9"/>
    </font>
    <font>
      <name val="Arial"/>
      <b val="1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0" fontId="4" fillId="3" borderId="0" pivotButton="0" quotePrefix="0" xfId="0"/>
    <xf numFmtId="0" fontId="9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69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2" fontId="6" fillId="4" borderId="1" applyAlignment="1" pivotButton="0" quotePrefix="0" xfId="0">
      <alignment horizontal="center" vertical="top"/>
    </xf>
    <xf numFmtId="2" fontId="7" fillId="0" borderId="1" pivotButton="0" quotePrefix="0" xfId="0"/>
    <xf numFmtId="164" fontId="8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3" fontId="8" fillId="0" borderId="1" pivotButton="0" quotePrefix="0" xfId="0"/>
    <xf numFmtId="168" fontId="8" fillId="0" borderId="1" pivotButton="0" quotePrefix="0" xfId="0"/>
    <xf numFmtId="167" fontId="5" fillId="0" borderId="1" pivotButton="0" quotePrefix="0" xfId="0"/>
    <xf numFmtId="2" fontId="8" fillId="0" borderId="1" pivotButton="0" quotePrefix="0" xfId="0"/>
    <xf numFmtId="166" fontId="5" fillId="0" borderId="1" pivotButton="0" quotePrefix="0" xfId="0"/>
    <xf numFmtId="169" fontId="5" fillId="0" borderId="1" pivotButton="0" quotePrefix="0" xfId="0"/>
    <xf numFmtId="3" fontId="7" fillId="0" borderId="1" pivotButton="0" quotePrefix="0" xfId="0"/>
    <xf numFmtId="166" fontId="7" fillId="0" borderId="1" pivotButton="0" quotePrefix="0" xfId="0"/>
    <xf numFmtId="166" fontId="7" fillId="3" borderId="1" pivotButton="0" quotePrefix="0" xfId="0"/>
    <xf numFmtId="168" fontId="5" fillId="0" borderId="1" pivotButton="0" quotePrefix="0" xfId="0"/>
    <xf numFmtId="165" fontId="5" fillId="0" borderId="1" pivotButton="0" quotePrefix="0" xfId="0"/>
    <xf numFmtId="165" fontId="5" fillId="3" borderId="1" pivotButton="0" quotePrefix="0" xfId="0"/>
    <xf numFmtId="170" fontId="7" fillId="0" borderId="1" pivotButton="0" quotePrefix="0" xfId="0"/>
    <xf numFmtId="164" fontId="8" fillId="0" borderId="1" applyAlignment="1" pivotButton="0" quotePrefix="0" xfId="0">
      <alignment horizontal="center" vertical="top"/>
    </xf>
    <xf numFmtId="170" fontId="8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70" fontId="5" fillId="0" borderId="1" pivotButton="0" quotePrefix="0" xfId="0"/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10" fillId="0" borderId="0" applyAlignment="1" pivotButton="0" quotePrefix="0" xfId="0">
      <alignment horizontal="center" vertical="top"/>
    </xf>
    <xf numFmtId="164" fontId="10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5" fontId="8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Input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Fund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BESS Pipeline Valuation — Develop-and-Flip (RTB)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Investor (LP) IRR/MOIC of an illustrative distribution-BESS develop-and-flip fund (NSW/VIC/SA)</t>
        </is>
      </c>
    </row>
    <row r="3">
      <c r="A3" s="3" t="inlineStr">
        <is>
          <t>Version</t>
        </is>
      </c>
      <c r="B3" s="4" t="inlineStr">
        <is>
          <t>v1.0</t>
        </is>
      </c>
    </row>
    <row r="4">
      <c r="A4" s="3" t="inlineStr">
        <is>
          <t>Author</t>
        </is>
      </c>
      <c r="B4" s="4" t="inlineStr">
        <is>
          <t>Portfolio project (independent rebuild of Boman deck claims)</t>
        </is>
      </c>
    </row>
    <row r="5">
      <c r="A5" s="3" t="inlineStr">
        <is>
          <t>Date</t>
        </is>
      </c>
      <c r="B5" s="4" t="inlineStr">
        <is>
          <t>2026-06-24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'Checks'!$B$19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the family trust should commit as an LP to an (illustrative) develop-and-flip RTB BESS fund, and at what expected return.</t>
        </is>
      </c>
    </row>
    <row r="12">
      <c r="A12" s="3" t="inlineStr">
        <is>
          <t>Reframe</t>
        </is>
      </c>
      <c r="B12" s="4" t="inlineStr">
        <is>
          <t>The fund sells RTB before construction — MERCHANT RISK PASSES TO THE BUYER. The fund's risk is the survival curve (approve→connect→sell) + the RTB price.</t>
        </is>
      </c>
    </row>
    <row r="13">
      <c r="A13" s="3" t="inlineStr">
        <is>
          <t>Outputs</t>
        </is>
      </c>
      <c r="B13" s="4" t="inlineStr">
        <is>
          <t>Investor IRR &amp; MOIC by scenario, First-Chicago expected return, per-pipeline valuation range, sensitivities.</t>
        </is>
      </c>
    </row>
    <row r="14">
      <c r="A14" s="3" t="inlineStr">
        <is>
          <t>Detail / horizon</t>
        </is>
      </c>
      <c r="B14" s="4" t="inlineStr">
        <is>
          <t>Annual, ~2+1-year term, AUD, $m.</t>
        </is>
      </c>
    </row>
    <row r="15">
      <c r="A15" s="3" t="inlineStr">
        <is>
          <t>Out of scope</t>
        </is>
      </c>
      <c r="B15" s="4" t="inlineStr">
        <is>
          <t>Post-sale operating/merchant cash flows, construction (buyer-funded), tax structuring, FX, debt.</t>
        </is>
      </c>
    </row>
    <row r="17">
      <c r="A17" s="6" t="inlineStr">
        <is>
          <t>Standards followed</t>
        </is>
      </c>
    </row>
    <row r="18">
      <c r="B18" s="4" t="inlineStr">
        <is>
          <t>FAST / ICAEW / Macabacus / Operis: Inputs→Calcs→Outputs zones; one Timeline; one-row-one-calc; no hardcodes in formulas; CHOOSE scenario switch + live-case row; checks built alongside; colour code (blue input / black formula / green link); INDEX-MATCH not VLOOKUP; IFERROR on division; closed-form IRR (no volatile functions).</t>
        </is>
      </c>
    </row>
    <row r="19"/>
    <row r="20"/>
    <row r="21"/>
    <row r="23">
      <c r="A23" s="6" t="inlineStr">
        <is>
          <t>Judgement inputs to OWN (review pass)</t>
        </is>
      </c>
    </row>
    <row r="24">
      <c r="B24" s="4" t="inlineStr">
        <is>
          <t>Discount rate &amp; premium • the THREE scenario success rates (vs the independent ~45%) • RTB $/MW by state (need independent comps) • dev cost per project &amp; abandonment • fees/carry/hurdle • cash-flow profile. Boman's figures are CLAIMS to verify — defend your own.</t>
        </is>
      </c>
    </row>
    <row r="25"/>
    <row r="26"/>
    <row r="27"/>
    <row r="29">
      <c r="A29" s="6" t="inlineStr">
        <is>
          <t>TO COMPLETE (analyst review pass)</t>
        </is>
      </c>
    </row>
    <row r="30">
      <c r="B30" s="4" t="inlineStr">
        <is>
          <t>1. Trace every formula + colour audit; confirm master check = OK; stress the switch in all 3 positions.  2. Replace 🟡 BENCHMARK / Boman-claim inputs with verified independent values (RTB comps, per-state success, dev cost).  3. Stress a downside where RTB prices are 20–30% lower and success ≈ the independent ~45%; confirm capital can be lost.</t>
        </is>
      </c>
    </row>
    <row r="31"/>
    <row r="32"/>
    <row r="33"/>
    <row r="35">
      <c r="A35" s="3" t="inlineStr">
        <is>
          <t>DISCLAIMER</t>
        </is>
      </c>
      <c r="B35" s="7" t="inlineStr">
        <is>
          <t>ILLUSTRATIVE fund built from public benchmark data; an INDEPENDENT rebuild of the Boman deck's CLAIMS (not an endorsement). NOT investment advice. Wholesale-investor context; read the IM. All figures illustrative and must be independently verified. Capital is at risk.</t>
        </is>
      </c>
    </row>
    <row r="36"/>
    <row r="37"/>
    <row r="38"/>
  </sheetData>
  <mergeCells count="4">
    <mergeCell ref="B24:B27"/>
    <mergeCell ref="B30:B33"/>
    <mergeCell ref="B35:B38"/>
    <mergeCell ref="B18:B21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Inputs</t>
        </is>
      </c>
      <c r="C7" s="10" t="inlineStr">
        <is>
          <t>All assumptions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PD-style survival curve (independent) + optimism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Calc_Fund</t>
        </is>
      </c>
      <c r="C12" s="10" t="inlineStr">
        <is>
          <t>Funnel, fees, investor IRR/MOIC (live)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Investor IRR/MOIC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Investor MOIC grid (success ×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2026-06-24</t>
        </is>
      </c>
      <c r="B4" s="11" t="inlineStr">
        <is>
          <t>v1.0</t>
        </is>
      </c>
      <c r="C4" s="4" t="inlineStr">
        <is>
          <t>Initial build: survival curve, per-project rNPV, fund funnel + fees, investor IRR/MOIC, First-Chicago, cross-checks, sensitivity, checks, dashboard.</t>
        </is>
      </c>
      <c r="D4" s="12" t="inlineStr">
        <is>
          <t>Claude Code (v1 draft)</t>
        </is>
      </c>
    </row>
    <row r="5">
      <c r="C5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INPUTS — all model assumptions (blue = input cell)</t>
        </is>
      </c>
      <c r="J1" s="2" t="inlineStr">
        <is>
          <t>↩ Contents</t>
        </is>
      </c>
    </row>
    <row r="2">
      <c r="A2" s="14" t="inlineStr">
        <is>
          <t>ILLUSTRATIVE develop-and-flip RTB fund. Boman figures are the manager's CLAIMS — verify.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Boman claim (see config)</t>
        </is>
      </c>
      <c r="F6" s="17" t="inlineStr">
        <is>
          <t>2026-06-24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'Inputs'!$C$5+'Inputs'!$C$6</f>
        <v/>
      </c>
      <c r="D7" s="15" t="inlineStr">
        <is>
          <t>decimal</t>
        </is>
      </c>
    </row>
    <row r="8">
      <c r="A8" s="6" t="inlineStr">
        <is>
          <t>Fund structure &amp; fees (Boman claim — verify in IM)</t>
        </is>
      </c>
    </row>
    <row r="9">
      <c r="A9" s="15" t="inlineStr">
        <is>
          <t>Committed capital</t>
        </is>
      </c>
      <c r="C9" s="19" t="n">
        <v>25</v>
      </c>
      <c r="D9" s="15" t="inlineStr">
        <is>
          <t>$m</t>
        </is>
      </c>
      <c r="E9" s="14" t="inlineStr">
        <is>
          <t>Illustrative / Boman claim (see config)</t>
        </is>
      </c>
      <c r="F9" s="17" t="inlineStr">
        <is>
          <t>2026-06-24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Boman claim (see config)</t>
        </is>
      </c>
      <c r="F10" s="17" t="inlineStr">
        <is>
          <t>2026-06-24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Boman claim (see config)</t>
        </is>
      </c>
      <c r="F11" s="17" t="inlineStr">
        <is>
          <t>2026-06-24</t>
        </is>
      </c>
      <c r="G11" s="17" t="inlineStr">
        <is>
          <t>BENCHMARK</t>
        </is>
      </c>
    </row>
    <row r="12">
      <c r="A12" s="15" t="inlineStr">
        <is>
          <t>Entry fee (% of committed)</t>
        </is>
      </c>
      <c r="C12" s="16" t="n">
        <v>0.02</v>
      </c>
      <c r="D12" s="15" t="inlineStr">
        <is>
          <t>decimal</t>
        </is>
      </c>
      <c r="E12" s="14" t="inlineStr">
        <is>
          <t>Illustrative / Boman claim (see config)</t>
        </is>
      </c>
      <c r="F12" s="17" t="inlineStr">
        <is>
          <t>2026-06-24</t>
        </is>
      </c>
      <c r="G12" s="17" t="inlineStr">
        <is>
          <t>BENCHMARK</t>
        </is>
      </c>
    </row>
    <row r="13">
      <c r="A13" s="15" t="inlineStr">
        <is>
          <t>Management fee (% p.a.)</t>
        </is>
      </c>
      <c r="C13" s="16" t="n">
        <v>0.02</v>
      </c>
      <c r="D13" s="15" t="inlineStr">
        <is>
          <t>decimal</t>
        </is>
      </c>
      <c r="E13" s="14" t="inlineStr">
        <is>
          <t>Illustrative / Boman claim (see config)</t>
        </is>
      </c>
      <c r="F13" s="17" t="inlineStr">
        <is>
          <t>2026-06-24</t>
        </is>
      </c>
      <c r="G13" s="17" t="inlineStr">
        <is>
          <t>BENCHMARK</t>
        </is>
      </c>
    </row>
    <row r="14">
      <c r="A14" s="15" t="inlineStr">
        <is>
          <t>Carried interest (%)</t>
        </is>
      </c>
      <c r="C14" s="16" t="n">
        <v>0.2</v>
      </c>
      <c r="D14" s="15" t="inlineStr">
        <is>
          <t>decimal</t>
        </is>
      </c>
      <c r="E14" s="14" t="inlineStr">
        <is>
          <t>Illustrative / Boman claim (see config)</t>
        </is>
      </c>
      <c r="F14" s="17" t="inlineStr">
        <is>
          <t>2026-06-24</t>
        </is>
      </c>
      <c r="G14" s="17" t="inlineStr">
        <is>
          <t>BENCHMARK</t>
        </is>
      </c>
    </row>
    <row r="15">
      <c r="A15" s="15" t="inlineStr">
        <is>
          <t>Hurdle / preferred return (%)</t>
        </is>
      </c>
      <c r="C15" s="16" t="n">
        <v>0.08</v>
      </c>
      <c r="D15" s="15" t="inlineStr">
        <is>
          <t>decimal</t>
        </is>
      </c>
      <c r="E15" s="14" t="inlineStr">
        <is>
          <t>Illustrative / Boman claim (see config)</t>
        </is>
      </c>
      <c r="F15" s="17" t="inlineStr">
        <is>
          <t>2026-06-24</t>
        </is>
      </c>
      <c r="G15" s="17" t="inlineStr">
        <is>
          <t>BENCHMARK</t>
        </is>
      </c>
    </row>
    <row r="16">
      <c r="A16" s="6" t="inlineStr">
        <is>
          <t>Development cost &amp; funnel attrition</t>
        </is>
      </c>
    </row>
    <row r="17">
      <c r="A17" s="15" t="inlineStr">
        <is>
          <t>Development cost per project</t>
        </is>
      </c>
      <c r="C17" s="21" t="n">
        <v>0.5</v>
      </c>
      <c r="D17" s="15" t="inlineStr">
        <is>
          <t>$m/project</t>
        </is>
      </c>
      <c r="E17" s="14" t="inlineStr">
        <is>
          <t>Boman deck (claim ~$500k/project) — verify bottom-up: site+EIA+grid+community+overhead</t>
        </is>
      </c>
      <c r="F17" s="17" t="inlineStr">
        <is>
          <t>2026-06-24</t>
        </is>
      </c>
      <c r="G17" s="17" t="inlineStr">
        <is>
          <t>BENCHMARK</t>
        </is>
      </c>
    </row>
    <row r="18">
      <c r="A18" s="15" t="inlineStr">
        <is>
          <t>Abandonment fraction (failed projects)</t>
        </is>
      </c>
      <c r="C18" s="16" t="n">
        <v>0.3</v>
      </c>
      <c r="D18" s="15" t="inlineStr">
        <is>
          <t>decimal</t>
        </is>
      </c>
      <c r="E18" s="14" t="inlineStr">
        <is>
          <t>Illustrative / Boman claim (see config)</t>
        </is>
      </c>
      <c r="F18" s="17" t="inlineStr">
        <is>
          <t>2026-06-24</t>
        </is>
      </c>
      <c r="G18" s="17" t="inlineStr">
        <is>
          <t>BENCHMARK</t>
        </is>
      </c>
    </row>
    <row r="19">
      <c r="A19" s="6" t="inlineStr">
        <is>
          <t>Build cost CONTEXT (buyer-funded — NOT in margin)</t>
        </is>
      </c>
    </row>
    <row r="20">
      <c r="A20" s="15" t="inlineStr">
        <is>
          <t>Built-asset cost (context)</t>
        </is>
      </c>
      <c r="C20" s="22" t="n">
        <v>1.8</v>
      </c>
      <c r="D20" s="15" t="inlineStr">
        <is>
          <t>$m/MW</t>
        </is>
      </c>
      <c r="E20" s="14" t="inlineStr">
        <is>
          <t>CSIRO GenCost-anchored build cost; context only — the buyer (not the fund) funds construction</t>
        </is>
      </c>
      <c r="F20" s="17" t="inlineStr">
        <is>
          <t>2026-06-24</t>
        </is>
      </c>
      <c r="G20" s="17" t="inlineStr">
        <is>
          <t>BENCHMARK</t>
        </is>
      </c>
    </row>
    <row r="21">
      <c r="A21" s="6" t="inlineStr">
        <is>
          <t>Survival gates (independent — public data)</t>
        </is>
      </c>
    </row>
    <row r="22">
      <c r="A22" s="15" t="inlineStr">
        <is>
          <t>Gate 1 — Planning approval</t>
        </is>
      </c>
      <c r="C22" s="16" t="n">
        <v>0.8</v>
      </c>
      <c r="D22" s="15" t="inlineStr">
        <is>
          <t>prob</t>
        </is>
      </c>
      <c r="E22" s="14" t="inlineStr">
        <is>
          <t>NSW Planning Portal — approved vs refused/withdrawn BESS major projects (benchmark)</t>
        </is>
      </c>
      <c r="F22" s="17" t="inlineStr">
        <is>
          <t>2026-06-24</t>
        </is>
      </c>
      <c r="G22" s="17" t="inlineStr">
        <is>
          <t>BENCHMARK</t>
        </is>
      </c>
      <c r="H22" s="23" t="n">
        <v>1.25</v>
      </c>
    </row>
    <row r="23">
      <c r="A23" s="15" t="inlineStr">
        <is>
          <t>Gate 2 — Grid connection</t>
        </is>
      </c>
      <c r="C23" s="16" t="n">
        <v>0.7</v>
      </c>
      <c r="D23" s="15" t="inlineStr">
        <is>
          <t>prob</t>
        </is>
      </c>
      <c r="E23" s="14" t="inlineStr">
        <is>
          <t>AEMO Connections Scorecard / KCI — connection success rate &amp; duration (benchmark)</t>
        </is>
      </c>
      <c r="F23" s="17" t="inlineStr">
        <is>
          <t>2026-06-24</t>
        </is>
      </c>
      <c r="G23" s="17" t="inlineStr">
        <is>
          <t>BENCHMARK</t>
        </is>
      </c>
      <c r="H23" s="23" t="n">
        <v>1.5</v>
      </c>
    </row>
    <row r="24">
      <c r="A24" s="15" t="inlineStr">
        <is>
          <t>Gate 3 — Reach sale</t>
        </is>
      </c>
      <c r="C24" s="16" t="n">
        <v>0.8</v>
      </c>
      <c r="D24" s="15" t="inlineStr">
        <is>
          <t>prob</t>
        </is>
      </c>
      <c r="E24" s="14" t="inlineStr">
        <is>
          <t>AEMO proposed-&gt;committed attrition + active buyer pool (benchmark)</t>
        </is>
      </c>
      <c r="F24" s="17" t="inlineStr">
        <is>
          <t>2026-06-24</t>
        </is>
      </c>
      <c r="G24" s="17" t="inlineStr">
        <is>
          <t>BENCHMARK</t>
        </is>
      </c>
      <c r="H24" s="23" t="n">
        <v>0.5</v>
      </c>
    </row>
    <row r="25">
      <c r="A25" s="6" t="inlineStr">
        <is>
          <t>RTB exit price — $/MW by state (Boman claim — verify)</t>
        </is>
      </c>
    </row>
    <row r="26">
      <c r="A26" s="15" t="inlineStr">
        <is>
          <t>NSW</t>
        </is>
      </c>
      <c r="C26" s="22" t="n">
        <v>0.2</v>
      </c>
      <c r="D26" s="15" t="inlineStr">
        <is>
          <t>$m/MW</t>
        </is>
      </c>
      <c r="E26" s="14" t="inlineStr">
        <is>
          <t>RTB $/MW by state (Boman claim — independent comps needed)</t>
        </is>
      </c>
      <c r="F26" s="17" t="inlineStr">
        <is>
          <t>2026-06-24</t>
        </is>
      </c>
      <c r="G26" s="17" t="inlineStr">
        <is>
          <t>BENCHMARK</t>
        </is>
      </c>
    </row>
    <row r="27">
      <c r="A27" s="15" t="inlineStr">
        <is>
          <t>VIC</t>
        </is>
      </c>
      <c r="C27" s="22" t="n">
        <v>0.18</v>
      </c>
      <c r="D27" s="15" t="inlineStr">
        <is>
          <t>$m/MW</t>
        </is>
      </c>
      <c r="E27" s="14" t="inlineStr">
        <is>
          <t>RTB $/MW by state (Boman claim — independent comps needed)</t>
        </is>
      </c>
      <c r="F27" s="17" t="inlineStr">
        <is>
          <t>2026-06-24</t>
        </is>
      </c>
      <c r="G27" s="17" t="inlineStr">
        <is>
          <t>BENCHMARK</t>
        </is>
      </c>
    </row>
    <row r="28">
      <c r="A28" s="15" t="inlineStr">
        <is>
          <t>SA</t>
        </is>
      </c>
      <c r="C28" s="22" t="n">
        <v>0.12</v>
      </c>
      <c r="D28" s="15" t="inlineStr">
        <is>
          <t>$m/MW</t>
        </is>
      </c>
      <c r="E28" s="14" t="inlineStr">
        <is>
          <t>RTB $/MW by state (Boman claim — independent comps needed)</t>
        </is>
      </c>
      <c r="F28" s="17" t="inlineStr">
        <is>
          <t>2026-06-24</t>
        </is>
      </c>
      <c r="G28" s="17" t="inlineStr">
        <is>
          <t>BENCHMARK</t>
        </is>
      </c>
    </row>
    <row r="29">
      <c r="A29" s="6" t="inlineStr">
        <is>
          <t>VC method</t>
        </is>
      </c>
    </row>
    <row r="30">
      <c r="A30" s="15" t="inlineStr">
        <is>
          <t>VC target return (cross-check)</t>
        </is>
      </c>
      <c r="C30" s="16" t="n">
        <v>0.25</v>
      </c>
      <c r="D30" s="15" t="inlineStr">
        <is>
          <t>decimal</t>
        </is>
      </c>
      <c r="E30" s="14" t="inlineStr">
        <is>
          <t>Illustrative / Boman claim (see config)</t>
        </is>
      </c>
      <c r="F30" s="17" t="inlineStr">
        <is>
          <t>2026-06-24</t>
        </is>
      </c>
      <c r="G30" s="17" t="inlineStr">
        <is>
          <t>BENCHMARK</t>
        </is>
      </c>
    </row>
    <row r="31">
      <c r="A31" s="6" t="inlineStr">
        <is>
          <t>Investor cash-flow profile (period 0..3; each sums to 100%)</t>
        </is>
      </c>
    </row>
    <row r="32">
      <c r="A32" s="15" t="inlineStr">
        <is>
          <t>Capital call profile</t>
        </is>
      </c>
      <c r="C32" s="24" t="n">
        <v>0.5</v>
      </c>
      <c r="D32" s="24" t="n">
        <v>0.5</v>
      </c>
      <c r="E32" s="24" t="n">
        <v>0</v>
      </c>
      <c r="F32" s="24" t="n">
        <v>0</v>
      </c>
    </row>
    <row r="33">
      <c r="A33" s="15" t="inlineStr">
        <is>
          <t>Distribution profile</t>
        </is>
      </c>
      <c r="C33" s="24" t="n">
        <v>0</v>
      </c>
      <c r="D33" s="24" t="n">
        <v>0</v>
      </c>
      <c r="E33" s="24" t="n">
        <v>0.5</v>
      </c>
      <c r="F33" s="24" t="n">
        <v>0.5</v>
      </c>
    </row>
    <row r="34">
      <c r="A34" s="6" t="inlineStr">
        <is>
          <t>Illustrative pipeline (representative ~5 MW distribution projects)</t>
        </is>
      </c>
    </row>
    <row r="35">
      <c r="A35" s="8" t="inlineStr">
        <is>
          <t>Project</t>
        </is>
      </c>
      <c r="B35" s="8" t="inlineStr">
        <is>
          <t>State</t>
        </is>
      </c>
      <c r="C35" s="8" t="inlineStr">
        <is>
          <t>Location</t>
        </is>
      </c>
      <c r="D35" s="8" t="inlineStr">
        <is>
          <t>MW</t>
        </is>
      </c>
      <c r="E35" s="8" t="inlineStr">
        <is>
          <t>Duration (h)</t>
        </is>
      </c>
      <c r="F35" s="8" t="inlineStr">
        <is>
          <t>MWh</t>
        </is>
      </c>
      <c r="G35" s="8" t="inlineStr">
        <is>
          <t>Years to sale</t>
        </is>
      </c>
    </row>
    <row r="36">
      <c r="A36" s="12" t="inlineStr">
        <is>
          <t>Riverina 5MW BESS (illustrative)</t>
        </is>
      </c>
      <c r="B36" s="11" t="inlineStr">
        <is>
          <t>NSW</t>
        </is>
      </c>
      <c r="C36" s="12" t="inlineStr">
        <is>
          <t>Wagga Wagga, NSW</t>
        </is>
      </c>
      <c r="D36" s="20" t="n">
        <v>5</v>
      </c>
      <c r="E36" s="23" t="n">
        <v>2</v>
      </c>
      <c r="F36" s="25">
        <f>D36*E36</f>
        <v/>
      </c>
      <c r="G36" s="23" t="n">
        <v>2.5</v>
      </c>
    </row>
    <row r="37">
      <c r="A37" s="12" t="inlineStr">
        <is>
          <t>Hunter Edge 5MW BESS (illustrative)</t>
        </is>
      </c>
      <c r="B37" s="11" t="inlineStr">
        <is>
          <t>NSW</t>
        </is>
      </c>
      <c r="C37" s="12" t="inlineStr">
        <is>
          <t>Hunter Valley, NSW</t>
        </is>
      </c>
      <c r="D37" s="20" t="n">
        <v>5</v>
      </c>
      <c r="E37" s="23" t="n">
        <v>4</v>
      </c>
      <c r="F37" s="25">
        <f>D37*E37</f>
        <v/>
      </c>
      <c r="G37" s="23" t="n">
        <v>3</v>
      </c>
    </row>
    <row r="38">
      <c r="A38" s="12" t="inlineStr">
        <is>
          <t>Illawarra 5MW BESS (illustrative)</t>
        </is>
      </c>
      <c r="B38" s="11" t="inlineStr">
        <is>
          <t>NSW</t>
        </is>
      </c>
      <c r="C38" s="12" t="inlineStr">
        <is>
          <t>Wollongong, NSW</t>
        </is>
      </c>
      <c r="D38" s="20" t="n">
        <v>5</v>
      </c>
      <c r="E38" s="23" t="n">
        <v>2</v>
      </c>
      <c r="F38" s="25">
        <f>D38*E38</f>
        <v/>
      </c>
      <c r="G38" s="23" t="n">
        <v>2</v>
      </c>
    </row>
    <row r="39">
      <c r="A39" s="12" t="inlineStr">
        <is>
          <t>Latrobe 5MW BESS (illustrative)</t>
        </is>
      </c>
      <c r="B39" s="11" t="inlineStr">
        <is>
          <t>VIC</t>
        </is>
      </c>
      <c r="C39" s="12" t="inlineStr">
        <is>
          <t>Latrobe Valley, VIC</t>
        </is>
      </c>
      <c r="D39" s="20" t="n">
        <v>5</v>
      </c>
      <c r="E39" s="23" t="n">
        <v>2</v>
      </c>
      <c r="F39" s="25">
        <f>D39*E39</f>
        <v/>
      </c>
      <c r="G39" s="23" t="n">
        <v>2.5</v>
      </c>
    </row>
    <row r="40">
      <c r="A40" s="12" t="inlineStr">
        <is>
          <t>Western Plains 5MW BESS (illustrative)</t>
        </is>
      </c>
      <c r="B40" s="11" t="inlineStr">
        <is>
          <t>VIC</t>
        </is>
      </c>
      <c r="C40" s="12" t="inlineStr">
        <is>
          <t>Horsham, VIC</t>
        </is>
      </c>
      <c r="D40" s="20" t="n">
        <v>5</v>
      </c>
      <c r="E40" s="23" t="n">
        <v>2</v>
      </c>
      <c r="F40" s="25">
        <f>D40*E40</f>
        <v/>
      </c>
      <c r="G40" s="23" t="n">
        <v>2</v>
      </c>
    </row>
    <row r="41">
      <c r="A41" s="12" t="inlineStr">
        <is>
          <t>Mid-North 5MW BESS (illustrative)</t>
        </is>
      </c>
      <c r="B41" s="11" t="inlineStr">
        <is>
          <t>SA</t>
        </is>
      </c>
      <c r="C41" s="12" t="inlineStr">
        <is>
          <t>Port Pirie, SA</t>
        </is>
      </c>
      <c r="D41" s="20" t="n">
        <v>5</v>
      </c>
      <c r="E41" s="23" t="n">
        <v>2</v>
      </c>
      <c r="F41" s="25">
        <f>D41*E41</f>
        <v/>
      </c>
      <c r="G41" s="23" t="n">
        <v>2.5</v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26" t="n">
        <v>0</v>
      </c>
      <c r="C3" s="26" t="n">
        <v>1</v>
      </c>
      <c r="D3" s="26" t="n">
        <v>2</v>
      </c>
      <c r="E3" s="26" t="n">
        <v>3</v>
      </c>
    </row>
    <row r="4">
      <c r="A4" s="15" t="inlineStr">
        <is>
          <t>Year</t>
        </is>
      </c>
      <c r="B4" s="27">
        <f>$B$2+B3</f>
        <v/>
      </c>
      <c r="C4" s="27">
        <f>$B$2+C3</f>
        <v/>
      </c>
      <c r="D4" s="27">
        <f>$B$2+D3</f>
        <v/>
      </c>
      <c r="E4" s="27">
        <f>$B$2+E3</f>
        <v/>
      </c>
    </row>
    <row r="5">
      <c r="A5" s="15" t="inlineStr">
        <is>
          <t>Discount factor @ live discount</t>
        </is>
      </c>
      <c r="B5" s="28">
        <f>IFERROR(1/(1+'Scenarios'!$E$9)^B3,0)</f>
        <v/>
      </c>
      <c r="C5" s="28">
        <f>IFERROR(1/(1+'Scenarios'!$E$9)^C3,0)</f>
        <v/>
      </c>
      <c r="D5" s="28">
        <f>IFERROR(1/(1+'Scenarios'!$E$9)^D3,0)</f>
        <v/>
      </c>
      <c r="E5" s="28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29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Cumulative success rate</t>
        </is>
      </c>
      <c r="B5" s="24" t="n">
        <v>0.4</v>
      </c>
      <c r="C5" s="24" t="n">
        <v>0.65</v>
      </c>
      <c r="D5" s="24" t="n">
        <v>0.8</v>
      </c>
      <c r="E5" s="18">
        <f>CHOOSE('Scenarios'!$B$2,B5,C5,D5)</f>
        <v/>
      </c>
    </row>
    <row r="6">
      <c r="A6" s="15" t="inlineStr">
        <is>
          <t>RTB price multiplier</t>
        </is>
      </c>
      <c r="B6" s="30" t="n">
        <v>0.85</v>
      </c>
      <c r="C6" s="30" t="n">
        <v>1</v>
      </c>
      <c r="D6" s="30" t="n">
        <v>1.15</v>
      </c>
      <c r="E6" s="31">
        <f>CHOOSE('Scenarios'!$B$2,B6,C6,D6)</f>
        <v/>
      </c>
    </row>
    <row r="7">
      <c r="A7" s="15" t="inlineStr">
        <is>
          <t>Dev cost multiplier</t>
        </is>
      </c>
      <c r="B7" s="30" t="n">
        <v>1.05</v>
      </c>
      <c r="C7" s="30" t="n">
        <v>1</v>
      </c>
      <c r="D7" s="30" t="n">
        <v>0.97</v>
      </c>
      <c r="E7" s="31">
        <f>CHOOSE('Scenarios'!$B$2,B7,C7,D7)</f>
        <v/>
      </c>
    </row>
    <row r="8">
      <c r="A8" s="15" t="inlineStr">
        <is>
          <t>Discount rate override (0=use base)</t>
        </is>
      </c>
      <c r="B8" s="24" t="n">
        <v>0.22</v>
      </c>
      <c r="C8" s="24" t="n">
        <v>0</v>
      </c>
      <c r="D8" s="24" t="n">
        <v>0.16</v>
      </c>
      <c r="E8" s="18">
        <f>CHOOSE('Scenarios'!$B$2,B8,C8,D8)</f>
        <v/>
      </c>
    </row>
    <row r="9">
      <c r="A9" s="3" t="inlineStr">
        <is>
          <t>Live discount rate</t>
        </is>
      </c>
      <c r="E9" s="18">
        <f>IF('Scenarios'!$E$8=0,'Inputs'!$C$7,'Scenarios'!$E$8)</f>
        <v/>
      </c>
    </row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24" t="n">
        <v>0.3</v>
      </c>
      <c r="C13" s="24" t="n">
        <v>0.5</v>
      </c>
      <c r="D13" s="24" t="n">
        <v>0.2</v>
      </c>
      <c r="E13" s="18">
        <f>SUM(B13:D13)</f>
        <v/>
      </c>
    </row>
    <row r="15">
      <c r="A15" s="14" t="inlineStr">
        <is>
          <t>Success rates mirror Boman's deck (40/65/80%) for comparability. The INDEPENDENT survival curve (~45%) sits below Base (65%) — see Calc_Survival. Scenarios are the analyst's to OWN.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8" customWidth="1" min="3" max="3"/>
  </cols>
  <sheetData>
    <row r="1">
      <c r="A1" s="1" t="inlineStr">
        <is>
          <t>CALC — PD-STYLE SURVIVAL CURVE (independent, public data)</t>
        </is>
      </c>
      <c r="J1" s="2" t="inlineStr">
        <is>
          <t>↩ Contents</t>
        </is>
      </c>
    </row>
    <row r="2">
      <c r="A2" s="14" t="inlineStr">
        <is>
          <t>Cumulative P(success) = product of gate probabilities — structurally a multi-period PD / survival curve (the credit-risk bridge). This is the model's INDEPENDENT estimate; the SCENARIOS set the success rate used in valuation.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Gate 1 — Planning approval</t>
        </is>
      </c>
      <c r="B4" s="32">
        <f>'Inputs'!$C$22</f>
        <v/>
      </c>
      <c r="C4" s="33">
        <f>B4</f>
        <v/>
      </c>
    </row>
    <row r="5">
      <c r="A5" s="15" t="inlineStr">
        <is>
          <t>Gate 2 — Grid connection</t>
        </is>
      </c>
      <c r="B5" s="32">
        <f>'Inputs'!$C$23</f>
        <v/>
      </c>
      <c r="C5" s="33">
        <f>C4*B5</f>
        <v/>
      </c>
    </row>
    <row r="6">
      <c r="A6" s="15" t="inlineStr">
        <is>
          <t>Gate 3 — Reach sale</t>
        </is>
      </c>
      <c r="B6" s="32">
        <f>'Inputs'!$C$24</f>
        <v/>
      </c>
      <c r="C6" s="33">
        <f>C5*B6</f>
        <v/>
      </c>
    </row>
    <row r="7">
      <c r="A7" s="3" t="inlineStr">
        <is>
          <t>Independent cumulative P(success)</t>
        </is>
      </c>
      <c r="C7" s="34">
        <f>C6</f>
        <v/>
      </c>
    </row>
    <row r="9">
      <c r="A9" s="15" t="inlineStr">
        <is>
          <t>Base scenario success (Boman claim)</t>
        </is>
      </c>
      <c r="C9" s="32">
        <f>'Scenarios'!$C$5</f>
        <v/>
      </c>
    </row>
    <row r="10">
      <c r="A10" s="3" t="inlineStr">
        <is>
          <t>Optimism gap (Base − independent)</t>
        </is>
      </c>
      <c r="C10" s="18">
        <f>C9-'Calc_Survival'!$C$7</f>
        <v/>
      </c>
    </row>
    <row r="11">
      <c r="C11" s="35">
        <f>IF(C10&gt;0.05,"FLAG: Base optimistic","ok")</f>
        <v/>
      </c>
    </row>
    <row r="12">
      <c r="A12" s="14" t="inlineStr">
        <is>
          <t>Independent ~45% sits BELOW Boman's Base (65%): treat Base as optimistic; ask for sub-5MW, per-state evidence. The sub-5MW AEMO registration exemption MAY lift small-distribution success above the large-project benchmark — verify.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'Inputs'!$A$36</f>
        <v/>
      </c>
      <c r="B4" s="36">
        <f>'Inputs'!$B$36</f>
        <v/>
      </c>
      <c r="C4" s="37">
        <f>'Inputs'!$D$36</f>
        <v/>
      </c>
      <c r="D4" s="38">
        <f>'Inputs'!$G$36</f>
        <v/>
      </c>
      <c r="E4" s="39">
        <f>IFERROR(INDEX('Inputs'!$C$26:$C$28,MATCH(B4,'Inputs'!$A$26:$A$28,0)),0)</f>
        <v/>
      </c>
      <c r="F4" s="40">
        <f>'Scenarios'!$E$6</f>
        <v/>
      </c>
      <c r="G4" s="41">
        <f>C4*E4*F4</f>
        <v/>
      </c>
      <c r="H4" s="41">
        <f>'Inputs'!$C$17*'Scenarios'!$E$7</f>
        <v/>
      </c>
      <c r="I4" s="41">
        <f>G4-H4</f>
        <v/>
      </c>
      <c r="J4" s="32">
        <f>'Scenarios'!$E$5</f>
        <v/>
      </c>
      <c r="K4" s="41">
        <f>I4*J4</f>
        <v/>
      </c>
      <c r="L4" s="42">
        <f>IFERROR(1/(1+'Scenarios'!$E$9)^D4,0)</f>
        <v/>
      </c>
      <c r="M4" s="41">
        <f>K4*L4</f>
        <v/>
      </c>
      <c r="N4" s="41">
        <f>C4*E4</f>
        <v/>
      </c>
    </row>
    <row r="5">
      <c r="A5" s="2">
        <f>'Inputs'!$A$37</f>
        <v/>
      </c>
      <c r="B5" s="36">
        <f>'Inputs'!$B$37</f>
        <v/>
      </c>
      <c r="C5" s="37">
        <f>'Inputs'!$D$37</f>
        <v/>
      </c>
      <c r="D5" s="38">
        <f>'Inputs'!$G$37</f>
        <v/>
      </c>
      <c r="E5" s="39">
        <f>IFERROR(INDEX('Inputs'!$C$26:$C$28,MATCH(B5,'Inputs'!$A$26:$A$28,0)),0)</f>
        <v/>
      </c>
      <c r="F5" s="40">
        <f>'Scenarios'!$E$6</f>
        <v/>
      </c>
      <c r="G5" s="41">
        <f>C5*E5*F5</f>
        <v/>
      </c>
      <c r="H5" s="41">
        <f>'Inputs'!$C$17*'Scenarios'!$E$7</f>
        <v/>
      </c>
      <c r="I5" s="41">
        <f>G5-H5</f>
        <v/>
      </c>
      <c r="J5" s="32">
        <f>'Scenarios'!$E$5</f>
        <v/>
      </c>
      <c r="K5" s="41">
        <f>I5*J5</f>
        <v/>
      </c>
      <c r="L5" s="42">
        <f>IFERROR(1/(1+'Scenarios'!$E$9)^D5,0)</f>
        <v/>
      </c>
      <c r="M5" s="41">
        <f>K5*L5</f>
        <v/>
      </c>
      <c r="N5" s="41">
        <f>C5*E5</f>
        <v/>
      </c>
    </row>
    <row r="6">
      <c r="A6" s="2">
        <f>'Inputs'!$A$38</f>
        <v/>
      </c>
      <c r="B6" s="36">
        <f>'Inputs'!$B$38</f>
        <v/>
      </c>
      <c r="C6" s="37">
        <f>'Inputs'!$D$38</f>
        <v/>
      </c>
      <c r="D6" s="38">
        <f>'Inputs'!$G$38</f>
        <v/>
      </c>
      <c r="E6" s="39">
        <f>IFERROR(INDEX('Inputs'!$C$26:$C$28,MATCH(B6,'Inputs'!$A$26:$A$28,0)),0)</f>
        <v/>
      </c>
      <c r="F6" s="40">
        <f>'Scenarios'!$E$6</f>
        <v/>
      </c>
      <c r="G6" s="41">
        <f>C6*E6*F6</f>
        <v/>
      </c>
      <c r="H6" s="41">
        <f>'Inputs'!$C$17*'Scenarios'!$E$7</f>
        <v/>
      </c>
      <c r="I6" s="41">
        <f>G6-H6</f>
        <v/>
      </c>
      <c r="J6" s="32">
        <f>'Scenarios'!$E$5</f>
        <v/>
      </c>
      <c r="K6" s="41">
        <f>I6*J6</f>
        <v/>
      </c>
      <c r="L6" s="42">
        <f>IFERROR(1/(1+'Scenarios'!$E$9)^D6,0)</f>
        <v/>
      </c>
      <c r="M6" s="41">
        <f>K6*L6</f>
        <v/>
      </c>
      <c r="N6" s="41">
        <f>C6*E6</f>
        <v/>
      </c>
    </row>
    <row r="7">
      <c r="A7" s="2">
        <f>'Inputs'!$A$39</f>
        <v/>
      </c>
      <c r="B7" s="36">
        <f>'Inputs'!$B$39</f>
        <v/>
      </c>
      <c r="C7" s="37">
        <f>'Inputs'!$D$39</f>
        <v/>
      </c>
      <c r="D7" s="38">
        <f>'Inputs'!$G$39</f>
        <v/>
      </c>
      <c r="E7" s="39">
        <f>IFERROR(INDEX('Inputs'!$C$26:$C$28,MATCH(B7,'Inputs'!$A$26:$A$28,0)),0)</f>
        <v/>
      </c>
      <c r="F7" s="40">
        <f>'Scenarios'!$E$6</f>
        <v/>
      </c>
      <c r="G7" s="41">
        <f>C7*E7*F7</f>
        <v/>
      </c>
      <c r="H7" s="41">
        <f>'Inputs'!$C$17*'Scenarios'!$E$7</f>
        <v/>
      </c>
      <c r="I7" s="41">
        <f>G7-H7</f>
        <v/>
      </c>
      <c r="J7" s="32">
        <f>'Scenarios'!$E$5</f>
        <v/>
      </c>
      <c r="K7" s="41">
        <f>I7*J7</f>
        <v/>
      </c>
      <c r="L7" s="42">
        <f>IFERROR(1/(1+'Scenarios'!$E$9)^D7,0)</f>
        <v/>
      </c>
      <c r="M7" s="41">
        <f>K7*L7</f>
        <v/>
      </c>
      <c r="N7" s="41">
        <f>C7*E7</f>
        <v/>
      </c>
    </row>
    <row r="8">
      <c r="A8" s="2">
        <f>'Inputs'!$A$40</f>
        <v/>
      </c>
      <c r="B8" s="36">
        <f>'Inputs'!$B$40</f>
        <v/>
      </c>
      <c r="C8" s="37">
        <f>'Inputs'!$D$40</f>
        <v/>
      </c>
      <c r="D8" s="38">
        <f>'Inputs'!$G$40</f>
        <v/>
      </c>
      <c r="E8" s="39">
        <f>IFERROR(INDEX('Inputs'!$C$26:$C$28,MATCH(B8,'Inputs'!$A$26:$A$28,0)),0)</f>
        <v/>
      </c>
      <c r="F8" s="40">
        <f>'Scenarios'!$E$6</f>
        <v/>
      </c>
      <c r="G8" s="41">
        <f>C8*E8*F8</f>
        <v/>
      </c>
      <c r="H8" s="41">
        <f>'Inputs'!$C$17*'Scenarios'!$E$7</f>
        <v/>
      </c>
      <c r="I8" s="41">
        <f>G8-H8</f>
        <v/>
      </c>
      <c r="J8" s="32">
        <f>'Scenarios'!$E$5</f>
        <v/>
      </c>
      <c r="K8" s="41">
        <f>I8*J8</f>
        <v/>
      </c>
      <c r="L8" s="42">
        <f>IFERROR(1/(1+'Scenarios'!$E$9)^D8,0)</f>
        <v/>
      </c>
      <c r="M8" s="41">
        <f>K8*L8</f>
        <v/>
      </c>
      <c r="N8" s="41">
        <f>C8*E8</f>
        <v/>
      </c>
    </row>
    <row r="9">
      <c r="A9" s="2">
        <f>'Inputs'!$A$41</f>
        <v/>
      </c>
      <c r="B9" s="36">
        <f>'Inputs'!$B$41</f>
        <v/>
      </c>
      <c r="C9" s="37">
        <f>'Inputs'!$D$41</f>
        <v/>
      </c>
      <c r="D9" s="38">
        <f>'Inputs'!$G$41</f>
        <v/>
      </c>
      <c r="E9" s="39">
        <f>IFERROR(INDEX('Inputs'!$C$26:$C$28,MATCH(B9,'Inputs'!$A$26:$A$28,0)),0)</f>
        <v/>
      </c>
      <c r="F9" s="40">
        <f>'Scenarios'!$E$6</f>
        <v/>
      </c>
      <c r="G9" s="41">
        <f>C9*E9*F9</f>
        <v/>
      </c>
      <c r="H9" s="41">
        <f>'Inputs'!$C$17*'Scenarios'!$E$7</f>
        <v/>
      </c>
      <c r="I9" s="41">
        <f>G9-H9</f>
        <v/>
      </c>
      <c r="J9" s="32">
        <f>'Scenarios'!$E$5</f>
        <v/>
      </c>
      <c r="K9" s="41">
        <f>I9*J9</f>
        <v/>
      </c>
      <c r="L9" s="42">
        <f>IFERROR(1/(1+'Scenarios'!$E$9)^D9,0)</f>
        <v/>
      </c>
      <c r="M9" s="41">
        <f>K9*L9</f>
        <v/>
      </c>
      <c r="N9" s="41">
        <f>C9*E9</f>
        <v/>
      </c>
    </row>
    <row r="10">
      <c r="A10" s="3" t="inlineStr">
        <is>
          <t>Pipeline total (representative)</t>
        </is>
      </c>
      <c r="C10" s="43">
        <f>SUM(C4:C9)</f>
        <v/>
      </c>
      <c r="G10" s="44">
        <f>SUM(G4:G9)</f>
        <v/>
      </c>
      <c r="H10" s="44">
        <f>SUM(H4:H9)</f>
        <v/>
      </c>
      <c r="M10" s="44">
        <f>SUM(M4:M9)</f>
        <v/>
      </c>
    </row>
    <row r="11">
      <c r="A11" s="3" t="inlineStr">
        <is>
          <t>Blended RTB sale per project (@1x)</t>
        </is>
      </c>
      <c r="M11" s="45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FUND FUNNEL, FEES &amp; INVESTOR RETURN (live scenario)</t>
        </is>
      </c>
      <c r="J1" s="2" t="inlineStr">
        <is>
          <t>↩ Contents</t>
        </is>
      </c>
    </row>
    <row r="2">
      <c r="A2" s="14" t="inlineStr">
        <is>
          <t>The funnel: projects_started = target ÷ success (widens as success falls). Full dev cost on delivered + partial on dropouts. Fees: entry + management + carry over the hurdle. Investor IRR is closed-form over the effective hold (so it reproduces in any Excel). All figures AUD $m.</t>
        </is>
      </c>
    </row>
    <row r="4">
      <c r="A4" s="6" t="inlineStr">
        <is>
          <t>Funnel (live scenario)</t>
        </is>
      </c>
    </row>
    <row r="5">
      <c r="A5" s="15" t="inlineStr">
        <is>
          <t>Live cumulative success</t>
        </is>
      </c>
      <c r="C5" s="32">
        <f>'Scenarios'!$E$5</f>
        <v/>
      </c>
    </row>
    <row r="6">
      <c r="A6" s="15" t="inlineStr">
        <is>
          <t>Projects target (delivered &amp; sold)</t>
        </is>
      </c>
      <c r="C6" s="37">
        <f>'Inputs'!$C$10</f>
        <v/>
      </c>
    </row>
    <row r="7">
      <c r="A7" s="15" t="inlineStr">
        <is>
          <t>Projects started (funnel)</t>
        </is>
      </c>
      <c r="C7" s="46">
        <f>IFERROR(C6/C5,0)</f>
        <v/>
      </c>
    </row>
    <row r="8">
      <c r="A8" s="15" t="inlineStr">
        <is>
          <t>Projects failed (dropouts)</t>
        </is>
      </c>
      <c r="C8" s="46">
        <f>C7-C6</f>
        <v/>
      </c>
    </row>
    <row r="9">
      <c r="A9" s="15" t="inlineStr">
        <is>
          <t>Dev cost per project (live)</t>
        </is>
      </c>
      <c r="C9" s="41">
        <f>'Inputs'!$C$17*'Scenarios'!$E$7</f>
        <v/>
      </c>
    </row>
    <row r="10">
      <c r="A10" s="3" t="inlineStr">
        <is>
          <t>Total development cost</t>
        </is>
      </c>
      <c r="C10" s="47">
        <f>C6*C9+C8*'Inputs'!$C$18*C9</f>
        <v/>
      </c>
    </row>
    <row r="11">
      <c r="A11" s="6" t="inlineStr">
        <is>
          <t>Proceeds &amp; fees</t>
        </is>
      </c>
    </row>
    <row r="12">
      <c r="A12" s="15" t="inlineStr">
        <is>
          <t>Blended RTB sale per project (live)</t>
        </is>
      </c>
      <c r="C12" s="41">
        <f>'Calc_Project_rNPV'!$M$11*'Scenarios'!$E$6</f>
        <v/>
      </c>
    </row>
    <row r="13">
      <c r="A13" s="3" t="inlineStr">
        <is>
          <t>Gross proceeds</t>
        </is>
      </c>
      <c r="C13" s="47">
        <f>C6*C12</f>
        <v/>
      </c>
    </row>
    <row r="14">
      <c r="A14" s="15" t="inlineStr">
        <is>
          <t>Entry fee</t>
        </is>
      </c>
      <c r="C14" s="47">
        <f>'Inputs'!$C$12*'Inputs'!$C$9</f>
        <v/>
      </c>
    </row>
    <row r="15">
      <c r="A15" s="15" t="inlineStr">
        <is>
          <t>Management fee (total)</t>
        </is>
      </c>
      <c r="C15" s="47">
        <f>'Inputs'!$C$13*'Inputs'!$C$9*'Inputs'!$C$11</f>
        <v/>
      </c>
    </row>
    <row r="16">
      <c r="A16" s="3" t="inlineStr">
        <is>
          <t>Invested capital (LP, called)</t>
        </is>
      </c>
      <c r="C16" s="48">
        <f>C10+C14+C15</f>
        <v/>
      </c>
    </row>
    <row r="17">
      <c r="A17" s="6" t="inlineStr">
        <is>
          <t>Carry, distributions &amp; return (live)</t>
        </is>
      </c>
    </row>
    <row r="18">
      <c r="A18" s="15" t="inlineStr">
        <is>
          <t>Profit before carry</t>
        </is>
      </c>
      <c r="C18" s="47">
        <f>C13-C16</f>
        <v/>
      </c>
    </row>
    <row r="19">
      <c r="A19" s="15" t="inlineStr">
        <is>
          <t>Hurdle factor = (1+hurdle)^term − 1</t>
        </is>
      </c>
      <c r="C19" s="33">
        <f>(1+'Inputs'!$C$15)^'Inputs'!$C$11-1</f>
        <v/>
      </c>
    </row>
    <row r="20">
      <c r="A20" s="15" t="inlineStr">
        <is>
          <t>Hurdle amount</t>
        </is>
      </c>
      <c r="C20" s="47">
        <f>C16*C19</f>
        <v/>
      </c>
    </row>
    <row r="21">
      <c r="A21" s="15" t="inlineStr">
        <is>
          <t>Carry to GP</t>
        </is>
      </c>
      <c r="C21" s="47">
        <f>'Inputs'!$C$14*MAX(0,C18-C20)</f>
        <v/>
      </c>
    </row>
    <row r="22">
      <c r="A22" s="3" t="inlineStr">
        <is>
          <t>Distributions to LP</t>
        </is>
      </c>
      <c r="C22" s="47">
        <f>C13-C21</f>
        <v/>
      </c>
    </row>
    <row r="23">
      <c r="A23" s="3" t="inlineStr">
        <is>
          <t>MOIC (net)</t>
        </is>
      </c>
      <c r="C23" s="49">
        <f>IFERROR(C22/C16,0)</f>
        <v/>
      </c>
    </row>
    <row r="24">
      <c r="A24" s="15" t="inlineStr">
        <is>
          <t>Mean distribution period (yrs)</t>
        </is>
      </c>
      <c r="C24" s="46">
        <f>SUMPRODUCT('Timeline'!$B$3:$E$3,'Inputs'!$C$33:$F$33)</f>
        <v/>
      </c>
    </row>
    <row r="25">
      <c r="A25" s="15" t="inlineStr">
        <is>
          <t>Mean capital-call period (yrs)</t>
        </is>
      </c>
      <c r="C25" s="46">
        <f>SUMPRODUCT('Timeline'!$B$3:$E$3,'Inputs'!$C$32:$F$32)</f>
        <v/>
      </c>
    </row>
    <row r="26">
      <c r="A26" s="15" t="inlineStr">
        <is>
          <t>Effective hold (yrs)</t>
        </is>
      </c>
      <c r="C26" s="46">
        <f>C24-C25</f>
        <v/>
      </c>
    </row>
    <row r="27">
      <c r="A27" s="3" t="inlineStr">
        <is>
          <t>Investor IRR (live, closed-form)</t>
        </is>
      </c>
      <c r="C27" s="34">
        <f>IFERROR(C23^(1/C26)-1,0)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investor IRR &amp; MOIC by scenario, First-Chicago, valuation range</t>
        </is>
      </c>
      <c r="J1" s="2" t="inlineStr">
        <is>
          <t>↩ Contents</t>
        </is>
      </c>
    </row>
    <row r="2">
      <c r="A2" s="14" t="inlineStr">
        <is>
          <t>Each scenario's funnel is computed independently of the switch. Investor IRR is closed-form over the effective hold. All figures AUD $m unless stated.</t>
        </is>
      </c>
    </row>
    <row r="3">
      <c r="A3" s="6" t="inlineStr">
        <is>
          <t>Investor return by scenario (after fees)</t>
        </is>
      </c>
    </row>
    <row r="4">
      <c r="A4" s="8" t="inlineStr">
        <is>
          <t>Metric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</row>
    <row r="5">
      <c r="A5" s="15" t="inlineStr">
        <is>
          <t>Cumulative success</t>
        </is>
      </c>
      <c r="B5" s="32">
        <f>'Scenarios'!$B$5</f>
        <v/>
      </c>
      <c r="C5" s="32">
        <f>'Scenarios'!$C$5</f>
        <v/>
      </c>
      <c r="D5" s="32">
        <f>'Scenarios'!$D$5</f>
        <v/>
      </c>
    </row>
    <row r="6">
      <c r="A6" s="15" t="inlineStr">
        <is>
          <t>RTB price multiplier</t>
        </is>
      </c>
      <c r="B6" s="40">
        <f>'Scenarios'!$B$6</f>
        <v/>
      </c>
      <c r="C6" s="40">
        <f>'Scenarios'!$C$6</f>
        <v/>
      </c>
      <c r="D6" s="40">
        <f>'Scenarios'!$D$6</f>
        <v/>
      </c>
    </row>
    <row r="7">
      <c r="A7" s="15" t="inlineStr">
        <is>
          <t>Dev cost multiplier</t>
        </is>
      </c>
      <c r="B7" s="40">
        <f>'Scenarios'!$B$7</f>
        <v/>
      </c>
      <c r="C7" s="40">
        <f>'Scenarios'!$C$7</f>
        <v/>
      </c>
      <c r="D7" s="40">
        <f>'Scenarios'!$D$7</f>
        <v/>
      </c>
    </row>
    <row r="8">
      <c r="A8" s="15" t="inlineStr">
        <is>
          <t>Dev cost per project</t>
        </is>
      </c>
      <c r="B8" s="41">
        <f>'Inputs'!$C$17*B7</f>
        <v/>
      </c>
      <c r="C8" s="41">
        <f>'Inputs'!$C$17*C7</f>
        <v/>
      </c>
      <c r="D8" s="41">
        <f>'Inputs'!$C$17*D7</f>
        <v/>
      </c>
    </row>
    <row r="9">
      <c r="A9" s="15" t="inlineStr">
        <is>
          <t>Projects started</t>
        </is>
      </c>
      <c r="B9" s="46">
        <f>IFERROR('Inputs'!$C$10/B5,0)</f>
        <v/>
      </c>
      <c r="C9" s="46">
        <f>IFERROR('Inputs'!$C$10/C5,0)</f>
        <v/>
      </c>
      <c r="D9" s="46">
        <f>IFERROR('Inputs'!$C$10/D5,0)</f>
        <v/>
      </c>
    </row>
    <row r="10">
      <c r="A10" s="15" t="inlineStr">
        <is>
          <t>Projects failed</t>
        </is>
      </c>
      <c r="B10" s="46">
        <f>B9-'Inputs'!$C$10</f>
        <v/>
      </c>
      <c r="C10" s="46">
        <f>C9-'Inputs'!$C$10</f>
        <v/>
      </c>
      <c r="D10" s="46">
        <f>D9-'Inputs'!$C$10</f>
        <v/>
      </c>
    </row>
    <row r="11">
      <c r="A11" s="15" t="inlineStr">
        <is>
          <t>Total dev cost</t>
        </is>
      </c>
      <c r="B11" s="47">
        <f>'Inputs'!$C$10*B8+B10*'Inputs'!$C$18*B8</f>
        <v/>
      </c>
      <c r="C11" s="47">
        <f>'Inputs'!$C$10*C8+C10*'Inputs'!$C$18*C8</f>
        <v/>
      </c>
      <c r="D11" s="47">
        <f>'Inputs'!$C$10*D8+D10*'Inputs'!$C$18*D8</f>
        <v/>
      </c>
    </row>
    <row r="12">
      <c r="A12" s="15" t="inlineStr">
        <is>
          <t>Gross proceeds</t>
        </is>
      </c>
      <c r="B12" s="47">
        <f>'Inputs'!$C$10*'Calc_Project_rNPV'!$M$11*B6</f>
        <v/>
      </c>
      <c r="C12" s="47">
        <f>'Inputs'!$C$10*'Calc_Project_rNPV'!$M$11*C6</f>
        <v/>
      </c>
      <c r="D12" s="47">
        <f>'Inputs'!$C$10*'Calc_Project_rNPV'!$M$11*D6</f>
        <v/>
      </c>
    </row>
    <row r="13">
      <c r="A13" s="15" t="inlineStr">
        <is>
          <t>Invested capital</t>
        </is>
      </c>
      <c r="B13" s="47">
        <f>B11+'Calc_Fund'!$C$15+'Calc_Fund'!$C$14</f>
        <v/>
      </c>
      <c r="C13" s="47">
        <f>C11+'Calc_Fund'!$C$15+'Calc_Fund'!$C$14</f>
        <v/>
      </c>
      <c r="D13" s="47">
        <f>D11+'Calc_Fund'!$C$15+'Calc_Fund'!$C$14</f>
        <v/>
      </c>
    </row>
    <row r="14">
      <c r="A14" s="15" t="inlineStr">
        <is>
          <t>Profit before carry</t>
        </is>
      </c>
      <c r="B14" s="47">
        <f>B12-B13</f>
        <v/>
      </c>
      <c r="C14" s="47">
        <f>C12-C13</f>
        <v/>
      </c>
      <c r="D14" s="47">
        <f>D12-D13</f>
        <v/>
      </c>
    </row>
    <row r="15">
      <c r="A15" s="15" t="inlineStr">
        <is>
          <t>Hurdle amount</t>
        </is>
      </c>
      <c r="B15" s="47">
        <f>B13*'Calc_Fund'!$C$19</f>
        <v/>
      </c>
      <c r="C15" s="47">
        <f>C13*'Calc_Fund'!$C$19</f>
        <v/>
      </c>
      <c r="D15" s="47">
        <f>D13*'Calc_Fund'!$C$19</f>
        <v/>
      </c>
    </row>
    <row r="16">
      <c r="A16" s="15" t="inlineStr">
        <is>
          <t>Carry to GP</t>
        </is>
      </c>
      <c r="B16" s="47">
        <f>'Inputs'!$C$14*MAX(0,B14-B15)</f>
        <v/>
      </c>
      <c r="C16" s="47">
        <f>'Inputs'!$C$14*MAX(0,C14-C15)</f>
        <v/>
      </c>
      <c r="D16" s="47">
        <f>'Inputs'!$C$14*MAX(0,D14-D15)</f>
        <v/>
      </c>
    </row>
    <row r="17">
      <c r="A17" s="15" t="inlineStr">
        <is>
          <t>Distributions to LP</t>
        </is>
      </c>
      <c r="B17" s="47">
        <f>B12-B16</f>
        <v/>
      </c>
      <c r="C17" s="47">
        <f>C12-C16</f>
        <v/>
      </c>
      <c r="D17" s="47">
        <f>D12-D16</f>
        <v/>
      </c>
    </row>
    <row r="18">
      <c r="A18" s="3" t="inlineStr">
        <is>
          <t>MOIC (net)</t>
        </is>
      </c>
      <c r="B18" s="49">
        <f>IFERROR(B17/B13,0)</f>
        <v/>
      </c>
      <c r="C18" s="49">
        <f>IFERROR(C17/C13,0)</f>
        <v/>
      </c>
      <c r="D18" s="49">
        <f>IFERROR(D17/D13,0)</f>
        <v/>
      </c>
    </row>
    <row r="19">
      <c r="A19" s="3" t="inlineStr">
        <is>
          <t>Investor IRR</t>
        </is>
      </c>
      <c r="B19" s="18">
        <f>IFERROR(B18^(1/'Calc_Fund'!$C$26)-1,0)</f>
        <v/>
      </c>
      <c r="C19" s="18">
        <f>IFERROR(C18^(1/'Calc_Fund'!$C$26)-1,0)</f>
        <v/>
      </c>
      <c r="D19" s="18">
        <f>IFERROR(D18^(1/'Calc_Fund'!$C$26)-1,0)</f>
        <v/>
      </c>
    </row>
    <row r="21">
      <c r="A21" s="6" t="inlineStr">
        <is>
          <t>First-Chicago probability-weighted expected return</t>
        </is>
      </c>
    </row>
    <row r="22">
      <c r="A22" s="8" t="inlineStr"/>
      <c r="B22" s="8" t="inlineStr">
        <is>
          <t>Conservative</t>
        </is>
      </c>
      <c r="C22" s="8" t="inlineStr">
        <is>
          <t>Base</t>
        </is>
      </c>
      <c r="D22" s="8" t="inlineStr">
        <is>
          <t>Ideal</t>
        </is>
      </c>
      <c r="E22" s="8" t="inlineStr">
        <is>
          <t>Expected</t>
        </is>
      </c>
    </row>
    <row r="23">
      <c r="A23" s="15" t="inlineStr">
        <is>
          <t>Weight</t>
        </is>
      </c>
      <c r="B23" s="50">
        <f>'Scenarios'!$B$13</f>
        <v/>
      </c>
      <c r="C23" s="50">
        <f>'Scenarios'!$C$13</f>
        <v/>
      </c>
      <c r="D23" s="50">
        <f>'Scenarios'!$D$13</f>
        <v/>
      </c>
    </row>
    <row r="24">
      <c r="A24" s="3" t="inlineStr">
        <is>
          <t>Investor IRR</t>
        </is>
      </c>
      <c r="B24" s="32">
        <f>'Returns'!$B$19</f>
        <v/>
      </c>
      <c r="C24" s="32">
        <f>'Returns'!$C$19</f>
        <v/>
      </c>
      <c r="D24" s="32">
        <f>'Returns'!$D$19</f>
        <v/>
      </c>
      <c r="E24" s="34">
        <f>SUMPRODUCT('Scenarios'!$B$13:$D$13,B24:D24)</f>
        <v/>
      </c>
    </row>
    <row r="25">
      <c r="A25" s="15" t="inlineStr">
        <is>
          <t>MOIC (net)</t>
        </is>
      </c>
      <c r="B25" s="51">
        <f>'Returns'!$B$18</f>
        <v/>
      </c>
      <c r="C25" s="51">
        <f>'Returns'!$C$18</f>
        <v/>
      </c>
      <c r="D25" s="51">
        <f>'Returns'!$D$18</f>
        <v/>
      </c>
      <c r="E25" s="49">
        <f>SUMPRODUCT('Scenarios'!$B$13:$D$13,B25:D25)</f>
        <v/>
      </c>
    </row>
    <row r="27">
      <c r="A27" s="6" t="inlineStr">
        <is>
          <t>Valuation range (per-pipeline asset value — cross-check)</t>
        </is>
      </c>
      <c r="C27" s="10" t="inlineStr">
        <is>
          <t>Representative 6-project pipeline, NOT the whole fund.</t>
        </is>
      </c>
    </row>
    <row r="28">
      <c r="A28" s="15" t="inlineStr">
        <is>
          <t>rNPV pipeline (Base)</t>
        </is>
      </c>
      <c r="C28" s="52">
        <f>'Calc_Project_rNPV'!$M$10</f>
        <v/>
      </c>
    </row>
    <row r="29">
      <c r="A29" s="15" t="inlineStr">
        <is>
          <t>$/MW benchmark (dev value)</t>
        </is>
      </c>
      <c r="C29" s="52">
        <f>'Calc_CrossChecks'!$C$9</f>
        <v/>
      </c>
    </row>
    <row r="30">
      <c r="A30" s="15" t="inlineStr">
        <is>
          <t>VC method (today value)</t>
        </is>
      </c>
      <c r="C30" s="52">
        <f>'Calc_CrossChecks'!$C$18</f>
        <v/>
      </c>
    </row>
    <row r="31">
      <c r="A31" s="3" t="inlineStr">
        <is>
          <t>Low</t>
        </is>
      </c>
      <c r="C31" s="44">
        <f>MIN(C28:C30)</f>
        <v/>
      </c>
    </row>
    <row r="32">
      <c r="A32" s="3" t="inlineStr">
        <is>
          <t>Midpoint</t>
        </is>
      </c>
      <c r="C32" s="45">
        <f>AVERAGE(C28:C30)</f>
        <v/>
      </c>
    </row>
    <row r="33">
      <c r="A33" s="3" t="inlineStr">
        <is>
          <t>High</t>
        </is>
      </c>
      <c r="C33" s="44">
        <f>MAX(C28:C30)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5">
        <f>SUM('Calc_Project_rNPV'!$C$4:$C$9)</f>
        <v/>
      </c>
    </row>
    <row r="5">
      <c r="A5" s="15" t="inlineStr">
        <is>
          <t>Gross RTB asset value $m</t>
        </is>
      </c>
      <c r="C5" s="47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47">
        <f>'Inputs'!$C$17*'Scenarios'!$C$7*6</f>
        <v/>
      </c>
    </row>
    <row r="7">
      <c r="A7" s="15" t="inlineStr">
        <is>
          <t>Average years to sale</t>
        </is>
      </c>
      <c r="C7" s="46">
        <f>AVERAGE('Calc_Project_rNPV'!$D$4:$D$9)</f>
        <v/>
      </c>
    </row>
    <row r="8">
      <c r="A8" s="15" t="inlineStr">
        <is>
          <t>Cumulative success (Base)</t>
        </is>
      </c>
      <c r="C8" s="32">
        <f>'Scenarios'!$C$5</f>
        <v/>
      </c>
    </row>
    <row r="9">
      <c r="A9" s="15" t="inlineStr">
        <is>
          <t>$/MW implied dev value $m</t>
        </is>
      </c>
      <c r="C9" s="44">
        <f>IFERROR((C5-C6)*C8/(1+'Inputs'!$C$7)^C7,0)</f>
        <v/>
      </c>
    </row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47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47">
        <f>C6</f>
        <v/>
      </c>
    </row>
    <row r="14">
      <c r="A14" s="15" t="inlineStr">
        <is>
          <t>Cumulative success (Base)</t>
        </is>
      </c>
      <c r="C14" s="32">
        <f>C8</f>
        <v/>
      </c>
    </row>
    <row r="15">
      <c r="A15" s="15" t="inlineStr">
        <is>
          <t>Exit equity value (expected) $m</t>
        </is>
      </c>
      <c r="C15" s="41">
        <f>C14*(C12-C13)</f>
        <v/>
      </c>
    </row>
    <row r="16">
      <c r="A16" s="15" t="inlineStr">
        <is>
          <t>VC target return</t>
        </is>
      </c>
      <c r="C16" s="32">
        <f>'Inputs'!$C$30</f>
        <v/>
      </c>
    </row>
    <row r="17">
      <c r="A17" s="15" t="inlineStr">
        <is>
          <t>Hold horizon (yrs)</t>
        </is>
      </c>
      <c r="C17" s="37">
        <f>'Inputs'!$C$11</f>
        <v/>
      </c>
    </row>
    <row r="18">
      <c r="A18" s="15" t="inlineStr">
        <is>
          <t>VC today value $m</t>
        </is>
      </c>
      <c r="C18" s="44">
        <f>IFERROR(C15/(1+C16)^C17,0)</f>
        <v/>
      </c>
    </row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53">
        <f>'Inputs'!$C$26</f>
        <v/>
      </c>
      <c r="C22" s="53">
        <f>'Inputs'!$C$20</f>
        <v/>
      </c>
      <c r="D22" s="33">
        <f>IFERROR(B22/C22,0)</f>
        <v/>
      </c>
    </row>
    <row r="23">
      <c r="A23" s="15" t="inlineStr">
        <is>
          <t>VIC</t>
        </is>
      </c>
      <c r="B23" s="53">
        <f>'Inputs'!$C$27</f>
        <v/>
      </c>
      <c r="C23" s="53">
        <f>'Inputs'!$C$20</f>
        <v/>
      </c>
      <c r="D23" s="33">
        <f>IFERROR(B23/C23,0)</f>
        <v/>
      </c>
    </row>
    <row r="24">
      <c r="A24" s="15" t="inlineStr">
        <is>
          <t>SA</t>
        </is>
      </c>
      <c r="B24" s="53">
        <f>'Inputs'!$C$28</f>
        <v/>
      </c>
      <c r="C24" s="53">
        <f>'Inputs'!$C$20</f>
        <v/>
      </c>
      <c r="D24" s="33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SENSITIVITY — investor MOIC (net): success × RTB price</t>
        </is>
      </c>
      <c r="J1" s="2" t="inlineStr">
        <is>
          <t>↩ Contents</t>
        </is>
      </c>
    </row>
    <row r="2">
      <c r="A2" s="14" t="inlineStr">
        <is>
          <t>Investor MOIC vs cumulative success (down) × RTB price multiplier (across); all else at Base. IRR ≈ MOIC^(1/eff-hold). Live formula grid (recalculates everywhere). All figures AUD $m / x.</t>
        </is>
      </c>
    </row>
    <row r="4">
      <c r="A4" s="15" t="inlineStr">
        <is>
          <t>Carry %</t>
        </is>
      </c>
      <c r="B4" s="32">
        <f>'Inputs'!$C$14</f>
        <v/>
      </c>
    </row>
    <row r="5">
      <c r="A5" s="15" t="inlineStr">
        <is>
          <t>Hurdle factor</t>
        </is>
      </c>
      <c r="B5" s="32">
        <f>'Calc_Fund'!$C$19</f>
        <v/>
      </c>
    </row>
    <row r="6">
      <c r="A6" s="15" t="inlineStr">
        <is>
          <t>Fixed fees (mgmt+entry) $m</t>
        </is>
      </c>
      <c r="B6" s="47">
        <f>'Calc_Fund'!$C$15+'Calc_Fund'!$C$14</f>
        <v/>
      </c>
    </row>
    <row r="8">
      <c r="B8" s="54" t="inlineStr">
        <is>
          <t>Price mult →</t>
        </is>
      </c>
      <c r="C8" s="30" t="n">
        <v>0.7</v>
      </c>
      <c r="D8" s="30" t="n">
        <v>0.85</v>
      </c>
      <c r="E8" s="30" t="n">
        <v>1</v>
      </c>
      <c r="F8" s="30" t="n">
        <v>1.15</v>
      </c>
      <c r="G8" s="30" t="n">
        <v>1.3</v>
      </c>
    </row>
    <row r="9">
      <c r="B9" s="54" t="inlineStr">
        <is>
          <t>Gross $m →</t>
        </is>
      </c>
      <c r="C9" s="55">
        <f>'Inputs'!$C$10*'Calc_Project_rNPV'!$M$11*C8</f>
        <v/>
      </c>
      <c r="D9" s="55">
        <f>'Inputs'!$C$10*'Calc_Project_rNPV'!$M$11*D8</f>
        <v/>
      </c>
      <c r="E9" s="55">
        <f>'Inputs'!$C$10*'Calc_Project_rNPV'!$M$11*E8</f>
        <v/>
      </c>
      <c r="F9" s="55">
        <f>'Inputs'!$C$10*'Calc_Project_rNPV'!$M$11*F8</f>
        <v/>
      </c>
      <c r="G9" s="55">
        <f>'Inputs'!$C$10*'Calc_Project_rNPV'!$M$11*G8</f>
        <v/>
      </c>
    </row>
    <row r="10">
      <c r="B10" s="56" t="inlineStr">
        <is>
          <t>Success ↓</t>
        </is>
      </c>
      <c r="C10" s="56" t="inlineStr">
        <is>
          <t>MOIC</t>
        </is>
      </c>
      <c r="D10" s="56" t="inlineStr">
        <is>
          <t>MOIC</t>
        </is>
      </c>
      <c r="E10" s="56" t="inlineStr">
        <is>
          <t>MOIC</t>
        </is>
      </c>
      <c r="F10" s="56" t="inlineStr">
        <is>
          <t>MOIC</t>
        </is>
      </c>
      <c r="G10" s="56" t="inlineStr">
        <is>
          <t>MOIC</t>
        </is>
      </c>
      <c r="H10" s="8" t="inlineStr">
        <is>
          <t>Started</t>
        </is>
      </c>
      <c r="I10" s="8" t="inlineStr">
        <is>
          <t>Total dev</t>
        </is>
      </c>
      <c r="J10" s="8" t="inlineStr">
        <is>
          <t>Invested</t>
        </is>
      </c>
    </row>
    <row r="11">
      <c r="B11" s="24" t="n">
        <v>0.35</v>
      </c>
      <c r="C11" s="57">
        <f>IFERROR((C$9-'Sensitivity'!$B$4*MAX(0,(C$9-$J11)-$J11*'Sensitivity'!$B$5))/$J11,0)</f>
        <v/>
      </c>
      <c r="D11" s="57">
        <f>IFERROR((D$9-'Sensitivity'!$B$4*MAX(0,(D$9-$J11)-$J11*'Sensitivity'!$B$5))/$J11,0)</f>
        <v/>
      </c>
      <c r="E11" s="57">
        <f>IFERROR((E$9-'Sensitivity'!$B$4*MAX(0,(E$9-$J11)-$J11*'Sensitivity'!$B$5))/$J11,0)</f>
        <v/>
      </c>
      <c r="F11" s="57">
        <f>IFERROR((F$9-'Sensitivity'!$B$4*MAX(0,(F$9-$J11)-$J11*'Sensitivity'!$B$5))/$J11,0)</f>
        <v/>
      </c>
      <c r="G11" s="57">
        <f>IFERROR((G$9-'Sensitivity'!$B$4*MAX(0,(G$9-$J11)-$J11*'Sensitivity'!$B$5))/$J11,0)</f>
        <v/>
      </c>
      <c r="H11" s="46">
        <f>IFERROR('Inputs'!$C$10/$B11,0)</f>
        <v/>
      </c>
      <c r="I11" s="47">
        <f>'Inputs'!$C$10*'Inputs'!$C$17+(H11-'Inputs'!$C$10)*'Inputs'!$C$18*'Inputs'!$C$17</f>
        <v/>
      </c>
      <c r="J11" s="47">
        <f>I11+'Sensitivity'!$B$6</f>
        <v/>
      </c>
    </row>
    <row r="12">
      <c r="B12" s="24" t="n">
        <v>0.45</v>
      </c>
      <c r="C12" s="57">
        <f>IFERROR((C$9-'Sensitivity'!$B$4*MAX(0,(C$9-$J12)-$J12*'Sensitivity'!$B$5))/$J12,0)</f>
        <v/>
      </c>
      <c r="D12" s="57">
        <f>IFERROR((D$9-'Sensitivity'!$B$4*MAX(0,(D$9-$J12)-$J12*'Sensitivity'!$B$5))/$J12,0)</f>
        <v/>
      </c>
      <c r="E12" s="57">
        <f>IFERROR((E$9-'Sensitivity'!$B$4*MAX(0,(E$9-$J12)-$J12*'Sensitivity'!$B$5))/$J12,0)</f>
        <v/>
      </c>
      <c r="F12" s="57">
        <f>IFERROR((F$9-'Sensitivity'!$B$4*MAX(0,(F$9-$J12)-$J12*'Sensitivity'!$B$5))/$J12,0)</f>
        <v/>
      </c>
      <c r="G12" s="57">
        <f>IFERROR((G$9-'Sensitivity'!$B$4*MAX(0,(G$9-$J12)-$J12*'Sensitivity'!$B$5))/$J12,0)</f>
        <v/>
      </c>
      <c r="H12" s="46">
        <f>IFERROR('Inputs'!$C$10/$B12,0)</f>
        <v/>
      </c>
      <c r="I12" s="47">
        <f>'Inputs'!$C$10*'Inputs'!$C$17+(H12-'Inputs'!$C$10)*'Inputs'!$C$18*'Inputs'!$C$17</f>
        <v/>
      </c>
      <c r="J12" s="47">
        <f>I12+'Sensitivity'!$B$6</f>
        <v/>
      </c>
    </row>
    <row r="13">
      <c r="B13" s="24" t="n">
        <v>0.55</v>
      </c>
      <c r="C13" s="57">
        <f>IFERROR((C$9-'Sensitivity'!$B$4*MAX(0,(C$9-$J13)-$J13*'Sensitivity'!$B$5))/$J13,0)</f>
        <v/>
      </c>
      <c r="D13" s="57">
        <f>IFERROR((D$9-'Sensitivity'!$B$4*MAX(0,(D$9-$J13)-$J13*'Sensitivity'!$B$5))/$J13,0)</f>
        <v/>
      </c>
      <c r="E13" s="57">
        <f>IFERROR((E$9-'Sensitivity'!$B$4*MAX(0,(E$9-$J13)-$J13*'Sensitivity'!$B$5))/$J13,0)</f>
        <v/>
      </c>
      <c r="F13" s="57">
        <f>IFERROR((F$9-'Sensitivity'!$B$4*MAX(0,(F$9-$J13)-$J13*'Sensitivity'!$B$5))/$J13,0)</f>
        <v/>
      </c>
      <c r="G13" s="57">
        <f>IFERROR((G$9-'Sensitivity'!$B$4*MAX(0,(G$9-$J13)-$J13*'Sensitivity'!$B$5))/$J13,0)</f>
        <v/>
      </c>
      <c r="H13" s="46">
        <f>IFERROR('Inputs'!$C$10/$B13,0)</f>
        <v/>
      </c>
      <c r="I13" s="47">
        <f>'Inputs'!$C$10*'Inputs'!$C$17+(H13-'Inputs'!$C$10)*'Inputs'!$C$18*'Inputs'!$C$17</f>
        <v/>
      </c>
      <c r="J13" s="47">
        <f>I13+'Sensitivity'!$B$6</f>
        <v/>
      </c>
    </row>
    <row r="14">
      <c r="B14" s="24" t="n">
        <v>0.65</v>
      </c>
      <c r="C14" s="57">
        <f>IFERROR((C$9-'Sensitivity'!$B$4*MAX(0,(C$9-$J14)-$J14*'Sensitivity'!$B$5))/$J14,0)</f>
        <v/>
      </c>
      <c r="D14" s="57">
        <f>IFERROR((D$9-'Sensitivity'!$B$4*MAX(0,(D$9-$J14)-$J14*'Sensitivity'!$B$5))/$J14,0)</f>
        <v/>
      </c>
      <c r="E14" s="57">
        <f>IFERROR((E$9-'Sensitivity'!$B$4*MAX(0,(E$9-$J14)-$J14*'Sensitivity'!$B$5))/$J14,0)</f>
        <v/>
      </c>
      <c r="F14" s="57">
        <f>IFERROR((F$9-'Sensitivity'!$B$4*MAX(0,(F$9-$J14)-$J14*'Sensitivity'!$B$5))/$J14,0)</f>
        <v/>
      </c>
      <c r="G14" s="57">
        <f>IFERROR((G$9-'Sensitivity'!$B$4*MAX(0,(G$9-$J14)-$J14*'Sensitivity'!$B$5))/$J14,0)</f>
        <v/>
      </c>
      <c r="H14" s="46">
        <f>IFERROR('Inputs'!$C$10/$B14,0)</f>
        <v/>
      </c>
      <c r="I14" s="47">
        <f>'Inputs'!$C$10*'Inputs'!$C$17+(H14-'Inputs'!$C$10)*'Inputs'!$C$18*'Inputs'!$C$17</f>
        <v/>
      </c>
      <c r="J14" s="47">
        <f>I14+'Sensitivity'!$B$6</f>
        <v/>
      </c>
    </row>
    <row r="15">
      <c r="B15" s="24" t="n">
        <v>0.8</v>
      </c>
      <c r="C15" s="57">
        <f>IFERROR((C$9-'Sensitivity'!$B$4*MAX(0,(C$9-$J15)-$J15*'Sensitivity'!$B$5))/$J15,0)</f>
        <v/>
      </c>
      <c r="D15" s="57">
        <f>IFERROR((D$9-'Sensitivity'!$B$4*MAX(0,(D$9-$J15)-$J15*'Sensitivity'!$B$5))/$J15,0)</f>
        <v/>
      </c>
      <c r="E15" s="57">
        <f>IFERROR((E$9-'Sensitivity'!$B$4*MAX(0,(E$9-$J15)-$J15*'Sensitivity'!$B$5))/$J15,0)</f>
        <v/>
      </c>
      <c r="F15" s="57">
        <f>IFERROR((F$9-'Sensitivity'!$B$4*MAX(0,(F$9-$J15)-$J15*'Sensitivity'!$B$5))/$J15,0)</f>
        <v/>
      </c>
      <c r="G15" s="57">
        <f>IFERROR((G$9-'Sensitivity'!$B$4*MAX(0,(G$9-$J15)-$J15*'Sensitivity'!$B$5))/$J15,0)</f>
        <v/>
      </c>
      <c r="H15" s="46">
        <f>IFERROR('Inputs'!$C$10/$B15,0)</f>
        <v/>
      </c>
      <c r="I15" s="47">
        <f>'Inputs'!$C$10*'Inputs'!$C$17+(H15-'Inputs'!$C$10)*'Inputs'!$C$18*'Inputs'!$C$17</f>
        <v/>
      </c>
      <c r="J15" s="47">
        <f>I15+'Sensitivity'!$B$6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35">
        <f>IF(AND(MIN('Inputs'!$C$22:$C$24)&gt;=0,MAX('Inputs'!$C$22:$C$24)&lt;=1),"OK","ERROR")</f>
        <v/>
      </c>
      <c r="C4" s="10" t="inlineStr">
        <is>
          <t>Gate probs bounded</t>
        </is>
      </c>
    </row>
    <row r="5">
      <c r="A5" s="15" t="inlineStr">
        <is>
          <t>Independent cumulative ≤ each gate</t>
        </is>
      </c>
      <c r="B5" s="35">
        <f>IF('Calc_Survival'!$C$7&lt;=MIN('Calc_Survival'!$B$4:$B$6)+0.000001,"OK","ERROR")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35">
        <f>IF(MIN('Inputs'!$D$36:$D$41)&gt;0,"OK","ERROR")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35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35">
        <f>IF('Inputs'!$C$17&gt;0,"OK","ERROR")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35">
        <f>IF(AND('Scenarios'!$B$2&gt;=1,'Scenarios'!$B$2&lt;=3),"OK","ERROR")</f>
        <v/>
      </c>
      <c r="C9" s="10" t="inlineStr">
        <is>
          <t>Switch valid</t>
        </is>
      </c>
    </row>
    <row r="10">
      <c r="A10" s="15" t="inlineStr">
        <is>
          <t>Scenario success monotonic</t>
        </is>
      </c>
      <c r="B10" s="35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Investor IRR monotonic</t>
        </is>
      </c>
      <c r="B11" s="35">
        <f>IF(AND('Returns'!$B$19&lt;='Returns'!$C$19,'Returns'!$C$19&lt;='Returns'!$D$19),"OK","ERROR")</f>
        <v/>
      </c>
      <c r="C11" s="10" t="inlineStr">
        <is>
          <t>Cons ≤ Base ≤ Ideal</t>
        </is>
      </c>
    </row>
    <row r="12">
      <c r="A12" s="15" t="inlineStr">
        <is>
          <t>Scenario weights sum to 100%</t>
        </is>
      </c>
      <c r="B12" s="35">
        <f>IF(ABS('Scenarios'!$E$13-1)&lt;0.001,"OK","ERROR")</f>
        <v/>
      </c>
      <c r="C12" s="10" t="inlineStr">
        <is>
          <t>First-Chicago weights</t>
        </is>
      </c>
    </row>
    <row r="13">
      <c r="A13" s="15" t="inlineStr">
        <is>
          <t>Capital-call profile sums to 100%</t>
        </is>
      </c>
      <c r="B13" s="35">
        <f>IF(ABS(SUM('Inputs'!$C$32:$F$32)-1)&lt;0.001,"OK","ERROR")</f>
        <v/>
      </c>
      <c r="C13" s="10" t="inlineStr">
        <is>
          <t>Cash-flow profile</t>
        </is>
      </c>
    </row>
    <row r="14">
      <c r="A14" s="15" t="inlineStr">
        <is>
          <t>Distribution profile sums to 100%</t>
        </is>
      </c>
      <c r="B14" s="35">
        <f>IF(ABS(SUM('Inputs'!$C$33:$F$33)-1)&lt;0.001,"OK","ERROR")</f>
        <v/>
      </c>
      <c r="C14" s="10" t="inlineStr">
        <is>
          <t>Cash-flow profile</t>
        </is>
      </c>
    </row>
    <row r="15">
      <c r="A15" s="15" t="inlineStr">
        <is>
          <t>First-Chicago IRR within scenario range</t>
        </is>
      </c>
      <c r="B15" s="35">
        <f>IF(AND(G15&gt;=E15-0.0001,G15&lt;=F15+0.0001),"OK","ERROR")</f>
        <v/>
      </c>
      <c r="C15" s="10" t="inlineStr">
        <is>
          <t>Weighting sanity (helpers E:G)</t>
        </is>
      </c>
      <c r="E15" s="58">
        <f>MIN('Returns'!$B$19:$D$19)</f>
        <v/>
      </c>
      <c r="F15" s="58">
        <f>MAX('Returns'!$B$19:$D$19)</f>
        <v/>
      </c>
      <c r="G15" s="50">
        <f>'Returns'!$E$24</f>
        <v/>
      </c>
    </row>
    <row r="16">
      <c r="A16" s="15" t="inlineStr">
        <is>
          <t>Invested capital positive (all scenarios)</t>
        </is>
      </c>
      <c r="B16" s="35">
        <f>IF(MIN('Returns'!$B$13:$D$13)&gt;0,"OK","ERROR")</f>
        <v/>
      </c>
      <c r="C16" s="10" t="inlineStr">
        <is>
          <t>Sign check</t>
        </is>
      </c>
    </row>
    <row r="17">
      <c r="A17" s="15" t="inlineStr">
        <is>
          <t>No error cells in key outputs</t>
        </is>
      </c>
      <c r="B17" s="35">
        <f>IF(SUM(E17:G17)=0,"OK","ERROR")</f>
        <v/>
      </c>
      <c r="C17" s="10" t="inlineStr">
        <is>
          <t>#REF!/#DIV0! scan</t>
        </is>
      </c>
      <c r="E17" s="35">
        <f>SUMPRODUCT(--ISERROR('Calc_Project_rNPV'!$M$4:$M$10))</f>
        <v/>
      </c>
      <c r="F17" s="35">
        <f>SUMPRODUCT(--ISERROR('Returns'!$B$19:$D$19))</f>
        <v/>
      </c>
      <c r="G17" s="35">
        <f>SUMPRODUCT(--ISERROR('Sensitivity'!$C$11:$G$15))</f>
        <v/>
      </c>
    </row>
    <row r="19">
      <c r="A19" s="3" t="inlineStr">
        <is>
          <t>MASTER CHECK</t>
        </is>
      </c>
      <c r="B19" s="59">
        <f>IF(COUNTIF(B4:B17,"ERROR")=0,"OK","ERROR")</f>
        <v/>
      </c>
    </row>
  </sheetData>
  <conditionalFormatting sqref="B4:B19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2" customWidth="1" min="4" max="4"/>
    <col width="16" customWidth="1" min="5" max="5"/>
  </cols>
  <sheetData>
    <row r="1">
      <c r="A1" s="1" t="inlineStr">
        <is>
          <t>ILLUSTRATIVE DISTRIBUTION-BESS DEVELOP-AND-FLIP FUND — DASHBOARD</t>
        </is>
      </c>
      <c r="J1" s="2" t="inlineStr">
        <is>
          <t>↩ Contents</t>
        </is>
      </c>
    </row>
    <row r="2">
      <c r="A2" s="7" t="inlineStr">
        <is>
          <t>Develop ~5 MW distribution BESS to RTB, sell before construction (NSW/VIC/SA). ILLUSTRATIVE — Boman figures are manager claims to verify.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0">
        <f>'Checks'!$B$19</f>
        <v/>
      </c>
    </row>
    <row r="6">
      <c r="A6" s="6" t="inlineStr">
        <is>
          <t>EXPECTED INVESTOR RETURN (First-Chicago)</t>
        </is>
      </c>
      <c r="D6" s="6" t="inlineStr">
        <is>
          <t>LIVE SCENARIO</t>
        </is>
      </c>
    </row>
    <row r="7">
      <c r="A7" s="3" t="inlineStr">
        <is>
          <t>Expected IRR (after fees)</t>
        </is>
      </c>
      <c r="B7" s="61">
        <f>'Returns'!$E$24</f>
        <v/>
      </c>
      <c r="D7" s="3" t="inlineStr">
        <is>
          <t>Investor IRR (live)</t>
        </is>
      </c>
      <c r="E7" s="61">
        <f>'Calc_Fund'!$C$27</f>
        <v/>
      </c>
    </row>
    <row r="8">
      <c r="A8" s="15" t="inlineStr">
        <is>
          <t>Expected MOIC</t>
        </is>
      </c>
      <c r="B8" s="51">
        <f>'Returns'!$E$25</f>
        <v/>
      </c>
      <c r="D8" s="15" t="inlineStr">
        <is>
          <t>MOIC (live)</t>
        </is>
      </c>
      <c r="E8" s="51">
        <f>'Calc_Fund'!$C$23</f>
        <v/>
      </c>
    </row>
    <row r="10">
      <c r="A10" s="6" t="inlineStr">
        <is>
          <t>INVESTOR IRR BY SCENARIO</t>
        </is>
      </c>
      <c r="D10" s="6" t="inlineStr">
        <is>
          <t>KEY ASSUMPTIONS &amp; FLAG</t>
        </is>
      </c>
    </row>
    <row r="11">
      <c r="A11" s="8" t="inlineStr">
        <is>
          <t>Scenario</t>
        </is>
      </c>
      <c r="B11" s="8" t="inlineStr">
        <is>
          <t>Success</t>
        </is>
      </c>
      <c r="C11" s="8" t="inlineStr">
        <is>
          <t>IRR</t>
        </is>
      </c>
      <c r="D11" s="62" t="inlineStr">
        <is>
          <t>Committed capital $m</t>
        </is>
      </c>
      <c r="E11" s="63">
        <f>'Inputs'!$C$9</f>
        <v/>
      </c>
    </row>
    <row r="12">
      <c r="A12" s="15" t="inlineStr">
        <is>
          <t>Conservative</t>
        </is>
      </c>
      <c r="B12" s="32">
        <f>'Scenarios'!$B$5</f>
        <v/>
      </c>
      <c r="C12" s="32">
        <f>'Returns'!$B$19</f>
        <v/>
      </c>
      <c r="D12" s="57" t="inlineStr">
        <is>
          <t>Projects target</t>
        </is>
      </c>
      <c r="E12" s="37">
        <f>'Inputs'!$C$10</f>
        <v/>
      </c>
    </row>
    <row r="13">
      <c r="A13" s="15" t="inlineStr">
        <is>
          <t>Base</t>
        </is>
      </c>
      <c r="B13" s="32">
        <f>'Scenarios'!$C$5</f>
        <v/>
      </c>
      <c r="C13" s="32">
        <f>'Returns'!$C$19</f>
        <v/>
      </c>
      <c r="D13" s="57" t="inlineStr">
        <is>
          <t>Independent cum P(success)</t>
        </is>
      </c>
      <c r="E13" s="32">
        <f>'Calc_Survival'!$C$7</f>
        <v/>
      </c>
    </row>
    <row r="14">
      <c r="A14" s="15" t="inlineStr">
        <is>
          <t>Ideal</t>
        </is>
      </c>
      <c r="B14" s="32">
        <f>'Scenarios'!$D$5</f>
        <v/>
      </c>
      <c r="C14" s="32">
        <f>'Returns'!$D$19</f>
        <v/>
      </c>
      <c r="D14" s="57" t="inlineStr">
        <is>
          <t>Base scenario success</t>
        </is>
      </c>
      <c r="E14" s="32">
        <f>'Scenarios'!$C$5</f>
        <v/>
      </c>
    </row>
    <row r="15">
      <c r="D15" s="15" t="inlineStr">
        <is>
          <t>Optimism gap (Base − indep.)</t>
        </is>
      </c>
      <c r="E15" s="32">
        <f>'Calc_Survival'!$C$10</f>
        <v/>
      </c>
    </row>
    <row r="17">
      <c r="A17" s="6" t="inlineStr">
        <is>
          <t>Conclusion (illustrative)</t>
        </is>
      </c>
    </row>
    <row r="18">
      <c r="A18" s="14" t="inlineStr">
        <is>
          <t>A real, policy-backed, capital-light niche with a viable RTB exit — but conditional. Merchant risk passes to the buyer; the fund's risk is the survival curve + the RTB price. The independent success (~45%) sits BELOW Boman's Base (65%), and the Conservative case can lose capital. The single biggest risk is EXIT/BUYER risk (non-binding buyers; RTB stage), then development/approval risk. Pursue only on verified buyer depth, RTB comps, and a survivable downside.</t>
        </is>
      </c>
    </row>
    <row r="19"/>
    <row r="20"/>
    <row r="21"/>
    <row r="22"/>
    <row r="23"/>
  </sheetData>
  <mergeCells count="1">
    <mergeCell ref="A18:E23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Boman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2026-06-24</t>
        </is>
      </c>
      <c r="D6" s="14" t="inlineStr">
        <is>
          <t>CSIRO GenCost-anchored build cost; context only — the buyer (not the fund)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2026-06-24</t>
        </is>
      </c>
      <c r="D7" s="14" t="inlineStr">
        <is>
          <t>Boman deck (claim ~$500k/project) — verify bottom-up: site+EIA+grid+community+overhead</t>
        </is>
      </c>
    </row>
    <row r="8">
      <c r="A8" s="15" t="inlineStr">
        <is>
          <t>Planning approval prob (planning portals)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connection success rate &amp; duration (benchmark)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(Boman claim)</t>
        </is>
      </c>
      <c r="B11" s="9" t="inlineStr">
        <is>
          <t>BENCHMARK</t>
        </is>
      </c>
      <c r="C11" s="9" t="inlineStr">
        <is>
          <t>2026-06-24</t>
        </is>
      </c>
      <c r="D11" s="14" t="inlineStr">
        <is>
          <t>RTB $/MW by state (Boman claim — independent comps needed)</t>
        </is>
      </c>
    </row>
    <row r="13">
      <c r="A13" s="14" t="inlineStr">
        <is>
          <t>RTB comps: publicly reported deals only; paid DBs (BNEF, Enerdatics, Mergermarket) out of scope. Boman's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Funnel</t>
        </is>
      </c>
      <c r="D19" s="14" t="inlineStr">
        <is>
          <t>projects_started = target ÷ success; you fund dev cost on every started project (full on delivered, partial on dropouts).</t>
        </is>
      </c>
    </row>
    <row r="20">
      <c r="A20" s="3" t="inlineStr">
        <is>
          <t>Carry / hurdle</t>
        </is>
      </c>
      <c r="D20" s="14" t="inlineStr">
        <is>
          <t>GP carried interest (20%) earned only on profit above the LP preferred return (8%).</t>
        </is>
      </c>
    </row>
    <row r="21">
      <c r="A21" s="3" t="inlineStr">
        <is>
          <t>MOIC / IRR</t>
        </is>
      </c>
      <c r="D21" s="14" t="inlineStr">
        <is>
          <t>Multiple on invested capital; annualised return (closed-form over the effective hold).</t>
        </is>
      </c>
    </row>
    <row r="22">
      <c r="A22" s="3" t="inlineStr">
        <is>
          <t>First Chicago</t>
        </is>
      </c>
      <c r="D22" s="14" t="inlineStr">
        <is>
          <t>Probability-weight the scenario returns into a single expected return.</t>
        </is>
      </c>
    </row>
    <row r="23">
      <c r="A23" s="3" t="inlineStr">
        <is>
          <t>Develop-and-flip</t>
        </is>
      </c>
      <c r="D23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2026-06-25T04:36:27Z</dcterms:created>
  <dcterms:modified xmlns:dcterms="http://purl.org/dc/terms/" xmlns:xsi="http://www.w3.org/2001/XMLSchema-instance" xsi:type="dcterms:W3CDTF">2026-06-25T04:36:28Z</dcterms:modified>
</cp:coreProperties>
</file>