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Change Log" sheetId="3" state="visible" r:id="rId3"/>
    <sheet xmlns:r="http://schemas.openxmlformats.org/officeDocument/2006/relationships" name="Inputs" sheetId="4" state="visible" r:id="rId4"/>
    <sheet xmlns:r="http://schemas.openxmlformats.org/officeDocument/2006/relationships" name="Timeline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Calc_Survival" sheetId="7" state="visible" r:id="rId7"/>
    <sheet xmlns:r="http://schemas.openxmlformats.org/officeDocument/2006/relationships" name="Calc_Project_rNPV" sheetId="8" state="visible" r:id="rId8"/>
    <sheet xmlns:r="http://schemas.openxmlformats.org/officeDocument/2006/relationships" name="Calc_Fund" sheetId="9" state="visible" r:id="rId9"/>
    <sheet xmlns:r="http://schemas.openxmlformats.org/officeDocument/2006/relationships" name="Returns" sheetId="10" state="visible" r:id="rId10"/>
    <sheet xmlns:r="http://schemas.openxmlformats.org/officeDocument/2006/relationships" name="Calc_CrossChecks" sheetId="11" state="visible" r:id="rId11"/>
    <sheet xmlns:r="http://schemas.openxmlformats.org/officeDocument/2006/relationships" name="Sensitivity" sheetId="12" state="visible" r:id="rId12"/>
    <sheet xmlns:r="http://schemas.openxmlformats.org/officeDocument/2006/relationships" name="Checks" sheetId="13" state="visible" r:id="rId13"/>
    <sheet xmlns:r="http://schemas.openxmlformats.org/officeDocument/2006/relationships" name="Dashboard" sheetId="14" state="visible" r:id="rId14"/>
    <sheet xmlns:r="http://schemas.openxmlformats.org/officeDocument/2006/relationships" name="Sources &amp; Gloss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.0;($#,##0.0);&quot;–&quot;"/>
    <numFmt numFmtId="166" formatCode="$#,##0.00;($#,##0.00);&quot;–&quot;"/>
    <numFmt numFmtId="167" formatCode="$#,##0.000"/>
    <numFmt numFmtId="168" formatCode="#,##0.0"/>
    <numFmt numFmtId="169" formatCode="0.000"/>
    <numFmt numFmtId="170" formatCode="0.00&quot;x&quot;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i val="1"/>
      <color rgb="00FF0000"/>
      <sz val="9"/>
    </font>
    <font>
      <name val="Arial"/>
      <b val="1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vertical="top" wrapText="1"/>
    </xf>
    <xf numFmtId="0" fontId="10" fillId="0" borderId="0" pivotButton="0" quotePrefix="0" xfId="0"/>
    <xf numFmtId="0" fontId="4" fillId="3" borderId="0" pivotButton="0" quotePrefix="0" xfId="0"/>
    <xf numFmtId="0" fontId="9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2" fillId="0" borderId="0" pivotButton="0" quotePrefix="0" xfId="0"/>
    <xf numFmtId="0" fontId="6" fillId="4" borderId="0" applyAlignment="1" pivotButton="0" quotePrefix="0" xfId="0">
      <alignment horizontal="center" vertical="top"/>
    </xf>
    <xf numFmtId="0" fontId="6" fillId="4" borderId="0" pivotButton="0" quotePrefix="0" xfId="0"/>
    <xf numFmtId="0" fontId="6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0" fontId="2" fillId="0" borderId="0" applyAlignment="1" pivotButton="0" quotePrefix="0" xfId="0">
      <alignment horizontal="center" vertical="top"/>
    </xf>
    <xf numFmtId="164" fontId="7" fillId="0" borderId="1" pivotButton="0" quotePrefix="0" xfId="0"/>
    <xf numFmtId="165" fontId="6" fillId="4" borderId="1" pivotButton="0" quotePrefix="0" xfId="0"/>
    <xf numFmtId="3" fontId="6" fillId="4" borderId="1" pivotButton="0" quotePrefix="0" xfId="0"/>
    <xf numFmtId="166" fontId="6" fillId="4" borderId="1" pivotButton="0" quotePrefix="0" xfId="0"/>
    <xf numFmtId="167" fontId="6" fillId="4" borderId="1" pivotButton="0" quotePrefix="0" xfId="0"/>
    <xf numFmtId="168" fontId="6" fillId="4" borderId="1" pivotButton="0" quotePrefix="0" xfId="0"/>
    <xf numFmtId="164" fontId="6" fillId="4" borderId="1" applyAlignment="1" pivotButton="0" quotePrefix="0" xfId="0">
      <alignment horizontal="center" vertical="top"/>
    </xf>
    <xf numFmtId="3" fontId="5" fillId="0" borderId="1" pivotButton="0" quotePrefix="0" xfId="0"/>
    <xf numFmtId="3" fontId="5" fillId="0" borderId="0" applyAlignment="1" pivotButton="0" quotePrefix="0" xfId="0">
      <alignment horizontal="center" vertical="top"/>
    </xf>
    <xf numFmtId="1" fontId="5" fillId="0" borderId="0" applyAlignment="1" pivotButton="0" quotePrefix="0" xfId="0">
      <alignment horizontal="center" vertical="top"/>
    </xf>
    <xf numFmtId="169" fontId="5" fillId="0" borderId="0" applyAlignment="1" pivotButton="0" quotePrefix="0" xfId="0">
      <alignment horizontal="center" vertical="top"/>
    </xf>
    <xf numFmtId="3" fontId="6" fillId="4" borderId="1" applyAlignment="1" pivotButton="0" quotePrefix="0" xfId="0">
      <alignment horizontal="center" vertical="top"/>
    </xf>
    <xf numFmtId="2" fontId="6" fillId="4" borderId="1" applyAlignment="1" pivotButton="0" quotePrefix="0" xfId="0">
      <alignment horizontal="center" vertical="top"/>
    </xf>
    <xf numFmtId="2" fontId="7" fillId="0" borderId="1" pivotButton="0" quotePrefix="0" xfId="0"/>
    <xf numFmtId="164" fontId="8" fillId="0" borderId="1" pivotButton="0" quotePrefix="0" xfId="0"/>
    <xf numFmtId="164" fontId="5" fillId="0" borderId="1" pivotButton="0" quotePrefix="0" xfId="0"/>
    <xf numFmtId="164" fontId="7" fillId="3" borderId="1" pivotButton="0" quotePrefix="0" xfId="0"/>
    <xf numFmtId="0" fontId="5" fillId="0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3" fontId="8" fillId="0" borderId="1" pivotButton="0" quotePrefix="0" xfId="0"/>
    <xf numFmtId="168" fontId="8" fillId="0" borderId="1" pivotButton="0" quotePrefix="0" xfId="0"/>
    <xf numFmtId="167" fontId="5" fillId="0" borderId="1" pivotButton="0" quotePrefix="0" xfId="0"/>
    <xf numFmtId="2" fontId="8" fillId="0" borderId="1" pivotButton="0" quotePrefix="0" xfId="0"/>
    <xf numFmtId="166" fontId="5" fillId="0" borderId="1" pivotButton="0" quotePrefix="0" xfId="0"/>
    <xf numFmtId="169" fontId="5" fillId="0" borderId="1" pivotButton="0" quotePrefix="0" xfId="0"/>
    <xf numFmtId="3" fontId="7" fillId="0" borderId="1" pivotButton="0" quotePrefix="0" xfId="0"/>
    <xf numFmtId="166" fontId="7" fillId="0" borderId="1" pivotButton="0" quotePrefix="0" xfId="0"/>
    <xf numFmtId="166" fontId="7" fillId="3" borderId="1" pivotButton="0" quotePrefix="0" xfId="0"/>
    <xf numFmtId="168" fontId="5" fillId="0" borderId="1" pivotButton="0" quotePrefix="0" xfId="0"/>
    <xf numFmtId="165" fontId="5" fillId="0" borderId="1" pivotButton="0" quotePrefix="0" xfId="0"/>
    <xf numFmtId="165" fontId="5" fillId="3" borderId="1" pivotButton="0" quotePrefix="0" xfId="0"/>
    <xf numFmtId="170" fontId="7" fillId="0" borderId="1" pivotButton="0" quotePrefix="0" xfId="0"/>
    <xf numFmtId="164" fontId="8" fillId="0" borderId="1" applyAlignment="1" pivotButton="0" quotePrefix="0" xfId="0">
      <alignment horizontal="center" vertical="top"/>
    </xf>
    <xf numFmtId="170" fontId="8" fillId="0" borderId="1" pivotButton="0" quotePrefix="0" xfId="0"/>
    <xf numFmtId="166" fontId="8" fillId="0" borderId="1" pivotButton="0" quotePrefix="0" xfId="0"/>
    <xf numFmtId="167" fontId="8" fillId="0" borderId="1" pivotButton="0" quotePrefix="0" xfId="0"/>
    <xf numFmtId="0" fontId="7" fillId="0" borderId="0" applyAlignment="1" pivotButton="0" quotePrefix="0" xfId="0">
      <alignment horizontal="right" vertical="top"/>
    </xf>
    <xf numFmtId="165" fontId="5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170" fontId="5" fillId="0" borderId="1" pivotButton="0" quotePrefix="0" xfId="0"/>
    <xf numFmtId="164" fontId="5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horizontal="center" vertical="top"/>
    </xf>
    <xf numFmtId="164" fontId="10" fillId="0" borderId="1" pivotButton="0" quotePrefix="0" xfId="0"/>
    <xf numFmtId="0" fontId="5" fillId="2" borderId="1" applyAlignment="1" pivotButton="0" quotePrefix="0" xfId="0">
      <alignment horizontal="center" vertical="top" wrapText="1"/>
    </xf>
    <xf numFmtId="165" fontId="8" fillId="0" borderId="1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Cover'!A1" TargetMode="External" Id="rId1"/><Relationship Type="http://schemas.openxmlformats.org/officeDocument/2006/relationships/hyperlink" Target="#'Contents'!A1" TargetMode="External" Id="rId2"/><Relationship Type="http://schemas.openxmlformats.org/officeDocument/2006/relationships/hyperlink" Target="#'Change Log'!A1" TargetMode="External" Id="rId3"/><Relationship Type="http://schemas.openxmlformats.org/officeDocument/2006/relationships/hyperlink" Target="#'Inputs'!A1" TargetMode="External" Id="rId4"/><Relationship Type="http://schemas.openxmlformats.org/officeDocument/2006/relationships/hyperlink" Target="#'Timeline'!A1" TargetMode="External" Id="rId5"/><Relationship Type="http://schemas.openxmlformats.org/officeDocument/2006/relationships/hyperlink" Target="#'Scenarios'!A1" TargetMode="External" Id="rId6"/><Relationship Type="http://schemas.openxmlformats.org/officeDocument/2006/relationships/hyperlink" Target="#'Calc_Survival'!A1" TargetMode="External" Id="rId7"/><Relationship Type="http://schemas.openxmlformats.org/officeDocument/2006/relationships/hyperlink" Target="#'Calc_Project_rNPV'!A1" TargetMode="External" Id="rId8"/><Relationship Type="http://schemas.openxmlformats.org/officeDocument/2006/relationships/hyperlink" Target="#'Calc_Fund'!A1" TargetMode="External" Id="rId9"/><Relationship Type="http://schemas.openxmlformats.org/officeDocument/2006/relationships/hyperlink" Target="#'Returns'!A1" TargetMode="External" Id="rId10"/><Relationship Type="http://schemas.openxmlformats.org/officeDocument/2006/relationships/hyperlink" Target="#'Calc_CrossChecks'!A1" TargetMode="External" Id="rId11"/><Relationship Type="http://schemas.openxmlformats.org/officeDocument/2006/relationships/hyperlink" Target="#'Sensitivity'!A1" TargetMode="External" Id="rId12"/><Relationship Type="http://schemas.openxmlformats.org/officeDocument/2006/relationships/hyperlink" Target="#'Checks'!A1" TargetMode="External" Id="rId13"/><Relationship Type="http://schemas.openxmlformats.org/officeDocument/2006/relationships/hyperlink" Target="#'Dashboard'!A1" TargetMode="External" Id="rId14"/><Relationship Type="http://schemas.openxmlformats.org/officeDocument/2006/relationships/hyperlink" Target="#'Sources &amp; Glossary'!A1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J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</cols>
  <sheetData>
    <row r="1">
      <c r="A1" s="1" t="inlineStr">
        <is>
          <t>BESS Pipeline Valuation — Develop-and-Flip (RTB)</t>
        </is>
      </c>
      <c r="J1" s="2" t="inlineStr">
        <is>
          <t>↩ Contents</t>
        </is>
      </c>
    </row>
    <row r="2">
      <c r="A2" s="3" t="inlineStr">
        <is>
          <t>Subtitle</t>
        </is>
      </c>
      <c r="B2" s="4" t="inlineStr">
        <is>
          <t>Investor (LP) IRR/MOIC of an illustrative distribution-BESS develop-and-flip fund (NSW/VIC/SA)</t>
        </is>
      </c>
    </row>
    <row r="3">
      <c r="A3" s="3" t="inlineStr">
        <is>
          <t>Version</t>
        </is>
      </c>
      <c r="B3" s="4" t="inlineStr">
        <is>
          <t>v1.0</t>
        </is>
      </c>
    </row>
    <row r="4">
      <c r="A4" s="3" t="inlineStr">
        <is>
          <t>Author</t>
        </is>
      </c>
      <c r="B4" s="4" t="inlineStr">
        <is>
          <t>Portfolio project (independent rebuild of Boman deck claims)</t>
        </is>
      </c>
    </row>
    <row r="5">
      <c r="A5" s="3" t="inlineStr">
        <is>
          <t>Date</t>
        </is>
      </c>
      <c r="B5" s="4" t="inlineStr">
        <is>
          <t>2026-06-24</t>
        </is>
      </c>
    </row>
    <row r="6">
      <c r="A6" s="3" t="inlineStr">
        <is>
          <t>Currency / Units</t>
        </is>
      </c>
      <c r="B6" s="4" t="inlineStr">
        <is>
          <t>AUD, $ millions ($m)</t>
        </is>
      </c>
    </row>
    <row r="7">
      <c r="A7" s="3" t="inlineStr">
        <is>
          <t>Active scenario</t>
        </is>
      </c>
      <c r="B7" s="5">
        <f>'Scenarios'!$B$3</f>
        <v/>
      </c>
    </row>
    <row r="8">
      <c r="A8" s="3" t="inlineStr">
        <is>
          <t>MASTER CHECK</t>
        </is>
      </c>
      <c r="B8" s="5">
        <f>'Checks'!$B$19</f>
        <v/>
      </c>
    </row>
    <row r="10">
      <c r="A10" s="6" t="inlineStr">
        <is>
          <t>Decision brief</t>
        </is>
      </c>
    </row>
    <row r="11">
      <c r="A11" s="3" t="inlineStr">
        <is>
          <t>Decision</t>
        </is>
      </c>
      <c r="B11" s="4" t="inlineStr">
        <is>
          <t>Whether the family trust should commit as an LP to an (illustrative) develop-and-flip RTB BESS fund, and at what expected return.</t>
        </is>
      </c>
    </row>
    <row r="12">
      <c r="A12" s="3" t="inlineStr">
        <is>
          <t>Reframe</t>
        </is>
      </c>
      <c r="B12" s="4" t="inlineStr">
        <is>
          <t>The fund sells RTB before construction — MERCHANT RISK PASSES TO THE BUYER. The fund's risk is the survival curve (approve→connect→sell) + the RTB price.</t>
        </is>
      </c>
    </row>
    <row r="13">
      <c r="A13" s="3" t="inlineStr">
        <is>
          <t>Outputs</t>
        </is>
      </c>
      <c r="B13" s="4" t="inlineStr">
        <is>
          <t>Investor IRR &amp; MOIC by scenario, First-Chicago expected return, per-pipeline valuation range, sensitivities.</t>
        </is>
      </c>
    </row>
    <row r="14">
      <c r="A14" s="3" t="inlineStr">
        <is>
          <t>Detail / horizon</t>
        </is>
      </c>
      <c r="B14" s="4" t="inlineStr">
        <is>
          <t>Annual, ~2+1-year term, AUD, $m.</t>
        </is>
      </c>
    </row>
    <row r="15">
      <c r="A15" s="3" t="inlineStr">
        <is>
          <t>Out of scope</t>
        </is>
      </c>
      <c r="B15" s="4" t="inlineStr">
        <is>
          <t>Post-sale operating/merchant cash flows, construction (buyer-funded), tax structuring, FX, debt.</t>
        </is>
      </c>
    </row>
    <row r="17">
      <c r="A17" s="6" t="inlineStr">
        <is>
          <t>Standards followed</t>
        </is>
      </c>
    </row>
    <row r="18">
      <c r="B18" s="4" t="inlineStr">
        <is>
          <t>FAST / ICAEW / Macabacus / Operis: Inputs→Calcs→Outputs zones; one Timeline; one-row-one-calc; no hardcodes in formulas; CHOOSE scenario switch + live-case row; checks built alongside; colour code (blue input / black formula / green link); INDEX-MATCH not VLOOKUP; IFERROR on division; closed-form IRR (no volatile functions).</t>
        </is>
      </c>
    </row>
    <row r="19"/>
    <row r="20"/>
    <row r="21"/>
    <row r="23">
      <c r="A23" s="6" t="inlineStr">
        <is>
          <t>Judgement inputs to OWN (review pass)</t>
        </is>
      </c>
    </row>
    <row r="24">
      <c r="B24" s="4" t="inlineStr">
        <is>
          <t>Discount rate &amp; premium • the THREE scenario success rates (vs the independent ~45%) • RTB $/MW by state (need independent comps) • dev cost per project &amp; abandonment • fees/carry/hurdle • cash-flow profile. Boman's figures are CLAIMS to verify — defend your own.</t>
        </is>
      </c>
    </row>
    <row r="25"/>
    <row r="26"/>
    <row r="27"/>
    <row r="29">
      <c r="A29" s="6" t="inlineStr">
        <is>
          <t>TO COMPLETE (analyst review pass)</t>
        </is>
      </c>
    </row>
    <row r="30">
      <c r="B30" s="4" t="inlineStr">
        <is>
          <t>1. Trace every formula + colour audit; confirm master check = OK; stress the switch in all 3 positions.  2. Replace 🟡 BENCHMARK / Boman-claim inputs with verified independent values (RTB comps, per-state success, dev cost).  3. Stress a downside where RTB prices are 20–30% lower and success ≈ the independent ~45%; confirm capital can be lost.</t>
        </is>
      </c>
    </row>
    <row r="31"/>
    <row r="32"/>
    <row r="33"/>
    <row r="35">
      <c r="A35" s="3" t="inlineStr">
        <is>
          <t>DISCLAIMER</t>
        </is>
      </c>
      <c r="B35" s="7" t="inlineStr">
        <is>
          <t>ILLUSTRATIVE fund built from public benchmark data; an INDEPENDENT rebuild of the Boman deck's CLAIMS (not an endorsement). NOT investment advice. Wholesale-investor context; read the IM. All figures illustrative and must be independently verified. Capital is at risk.</t>
        </is>
      </c>
    </row>
    <row r="36"/>
    <row r="37"/>
    <row r="38"/>
  </sheetData>
  <mergeCells count="4">
    <mergeCell ref="B24:B27"/>
    <mergeCell ref="B30:B33"/>
    <mergeCell ref="B35:B38"/>
    <mergeCell ref="B18:B21"/>
  </mergeCells>
  <conditionalFormatting sqref="B8">
    <cfRule type="cellIs" priority="1" operator="equal" dxfId="0">
      <formula>"OK"</formula>
    </cfRule>
    <cfRule type="cellIs" priority="2" operator="equal" dxfId="1">
      <formula>"ERROR"</formula>
    </cfRule>
  </conditionalFormatting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</cols>
  <sheetData>
    <row r="1">
      <c r="A1" s="1" t="inlineStr">
        <is>
          <t>Contents</t>
        </is>
      </c>
    </row>
    <row r="3">
      <c r="A3" s="8" t="inlineStr">
        <is>
          <t>#</t>
        </is>
      </c>
      <c r="B3" s="8" t="inlineStr">
        <is>
          <t>Sheet</t>
        </is>
      </c>
      <c r="C3" s="8" t="inlineStr">
        <is>
          <t>Purpose</t>
        </is>
      </c>
    </row>
    <row r="4">
      <c r="A4" s="9" t="n">
        <v>1</v>
      </c>
      <c r="B4" s="2" t="inlineStr">
        <is>
          <t>Cover</t>
        </is>
      </c>
      <c r="C4" s="10" t="inlineStr">
        <is>
          <t>Title, decision brief, master check, disclaimer</t>
        </is>
      </c>
    </row>
    <row r="5">
      <c r="A5" s="9" t="n">
        <v>2</v>
      </c>
      <c r="B5" s="2" t="inlineStr">
        <is>
          <t>Contents</t>
        </is>
      </c>
      <c r="C5" s="10" t="inlineStr">
        <is>
          <t>This page</t>
        </is>
      </c>
    </row>
    <row r="6">
      <c r="A6" s="9" t="n">
        <v>3</v>
      </c>
      <c r="B6" s="2" t="inlineStr">
        <is>
          <t>Change Log</t>
        </is>
      </c>
      <c r="C6" s="10" t="inlineStr">
        <is>
          <t>Version history</t>
        </is>
      </c>
    </row>
    <row r="7">
      <c r="A7" s="9" t="n">
        <v>4</v>
      </c>
      <c r="B7" s="2" t="inlineStr">
        <is>
          <t>Inputs</t>
        </is>
      </c>
      <c r="C7" s="10" t="inlineStr">
        <is>
          <t>All assumptions + imported data (blue)</t>
        </is>
      </c>
    </row>
    <row r="8">
      <c r="A8" s="9" t="n">
        <v>5</v>
      </c>
      <c r="B8" s="2" t="inlineStr">
        <is>
          <t>Timeline</t>
        </is>
      </c>
      <c r="C8" s="10" t="inlineStr">
        <is>
          <t>Master timeline (built once)</t>
        </is>
      </c>
    </row>
    <row r="9">
      <c r="A9" s="9" t="n">
        <v>6</v>
      </c>
      <c r="B9" s="2" t="inlineStr">
        <is>
          <t>Scenarios</t>
        </is>
      </c>
      <c r="C9" s="10" t="inlineStr">
        <is>
          <t>Scenarios + switch + live case + weights</t>
        </is>
      </c>
    </row>
    <row r="10">
      <c r="A10" s="9" t="n">
        <v>7</v>
      </c>
      <c r="B10" s="2" t="inlineStr">
        <is>
          <t>Calc_Survival</t>
        </is>
      </c>
      <c r="C10" s="10" t="inlineStr">
        <is>
          <t>PD-style survival curve (independent) + optimism flag</t>
        </is>
      </c>
    </row>
    <row r="11">
      <c r="A11" s="9" t="n">
        <v>8</v>
      </c>
      <c r="B11" s="2" t="inlineStr">
        <is>
          <t>Calc_Project_rNPV</t>
        </is>
      </c>
      <c r="C11" s="10" t="inlineStr">
        <is>
          <t>Per-project risk-adjusted NAV (RTB − dev cost)</t>
        </is>
      </c>
    </row>
    <row r="12">
      <c r="A12" s="9" t="n">
        <v>9</v>
      </c>
      <c r="B12" s="2" t="inlineStr">
        <is>
          <t>Calc_Fund</t>
        </is>
      </c>
      <c r="C12" s="10" t="inlineStr">
        <is>
          <t>Funnel, fees, investor IRR/MOIC (live)</t>
        </is>
      </c>
    </row>
    <row r="13">
      <c r="A13" s="9" t="n">
        <v>10</v>
      </c>
      <c r="B13" s="2" t="inlineStr">
        <is>
          <t>Returns</t>
        </is>
      </c>
      <c r="C13" s="10" t="inlineStr">
        <is>
          <t>Investor IRR/MOIC by scenario, First-Chicago, valuation range</t>
        </is>
      </c>
    </row>
    <row r="14">
      <c r="A14" s="9" t="n">
        <v>11</v>
      </c>
      <c r="B14" s="2" t="inlineStr">
        <is>
          <t>Calc_CrossChecks</t>
        </is>
      </c>
      <c r="C14" s="10" t="inlineStr">
        <is>
          <t>$/MW benchmark, VC method, RTB vs built</t>
        </is>
      </c>
    </row>
    <row r="15">
      <c r="A15" s="9" t="n">
        <v>12</v>
      </c>
      <c r="B15" s="2" t="inlineStr">
        <is>
          <t>Sensitivity</t>
        </is>
      </c>
      <c r="C15" s="10" t="inlineStr">
        <is>
          <t>Investor MOIC grid (success × price)</t>
        </is>
      </c>
    </row>
    <row r="16">
      <c r="A16" s="9" t="n">
        <v>13</v>
      </c>
      <c r="B16" s="2" t="inlineStr">
        <is>
          <t>Checks</t>
        </is>
      </c>
      <c r="C16" s="10" t="inlineStr">
        <is>
          <t>Integrity checks + master check</t>
        </is>
      </c>
    </row>
    <row r="17">
      <c r="A17" s="9" t="n">
        <v>14</v>
      </c>
      <c r="B17" s="2" t="inlineStr">
        <is>
          <t>Dashboard</t>
        </is>
      </c>
      <c r="C17" s="10" t="inlineStr">
        <is>
          <t>One-page IC summary</t>
        </is>
      </c>
    </row>
    <row r="18">
      <c r="A18" s="9" t="n">
        <v>15</v>
      </c>
      <c r="B18" s="2" t="inlineStr">
        <is>
          <t>Sources &amp; Glossary</t>
        </is>
      </c>
      <c r="C18" s="10" t="inlineStr">
        <is>
          <t>Sources + glossary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J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62" customWidth="1" min="3" max="3"/>
    <col width="20" customWidth="1" min="4" max="4"/>
  </cols>
  <sheetData>
    <row r="1">
      <c r="A1" s="1" t="inlineStr">
        <is>
          <t>Change Log</t>
        </is>
      </c>
      <c r="J1" s="2" t="inlineStr">
        <is>
          <t>↩ Contents</t>
        </is>
      </c>
    </row>
    <row r="3">
      <c r="A3" s="8" t="inlineStr">
        <is>
          <t>Date</t>
        </is>
      </c>
      <c r="B3" s="8" t="inlineStr">
        <is>
          <t>Version</t>
        </is>
      </c>
      <c r="C3" s="8" t="inlineStr">
        <is>
          <t>Change</t>
        </is>
      </c>
      <c r="D3" s="8" t="inlineStr">
        <is>
          <t>Author</t>
        </is>
      </c>
    </row>
    <row r="4">
      <c r="A4" s="11" t="inlineStr">
        <is>
          <t>2026-06-24</t>
        </is>
      </c>
      <c r="B4" s="11" t="inlineStr">
        <is>
          <t>v1.0</t>
        </is>
      </c>
      <c r="C4" s="4" t="inlineStr">
        <is>
          <t>Initial build: survival curve, per-project rNPV, fund funnel + fees, investor IRR/MOIC, First-Chicago, cross-checks, sensitivity, checks, dashboard.</t>
        </is>
      </c>
      <c r="D4" s="12" t="inlineStr">
        <is>
          <t>Claude Code (v1 draft)</t>
        </is>
      </c>
    </row>
    <row r="5">
      <c r="C5" s="13" t="inlineStr">
        <is>
          <t>[Analyst review pass — record changes here]</t>
        </is>
      </c>
    </row>
  </sheetData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70C0"/>
    <outlinePr summaryBelow="1" summaryRight="1"/>
    <pageSetUpPr/>
  </sheetPr>
  <dimension ref="A1:J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4" customWidth="1" min="3" max="3"/>
    <col width="13" customWidth="1" min="4" max="4"/>
    <col width="5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INPUTS — all model assumptions (blue = input cell)</t>
        </is>
      </c>
      <c r="J1" s="2" t="inlineStr">
        <is>
          <t>↩ Contents</t>
        </is>
      </c>
    </row>
    <row r="2">
      <c r="A2" s="14" t="inlineStr">
        <is>
          <t>ILLUSTRATIVE develop-and-flip RTB fund. Boman figures are the manager's CLAIMS — verify. Every input traces to a source.</t>
        </is>
      </c>
    </row>
    <row r="3">
      <c r="A3" s="8" t="inlineStr">
        <is>
          <t>Assumption</t>
        </is>
      </c>
      <c r="B3" s="8" t="inlineStr"/>
      <c r="C3" s="8" t="inlineStr">
        <is>
          <t>Value</t>
        </is>
      </c>
      <c r="D3" s="8" t="inlineStr">
        <is>
          <t>Unit</t>
        </is>
      </c>
      <c r="E3" s="8" t="inlineStr">
        <is>
          <t>Source</t>
        </is>
      </c>
      <c r="F3" s="8" t="inlineStr">
        <is>
          <t>As at</t>
        </is>
      </c>
      <c r="G3" s="8" t="inlineStr">
        <is>
          <t>Status</t>
        </is>
      </c>
      <c r="H3" s="8" t="inlineStr">
        <is>
          <t>Duration (yrs)</t>
        </is>
      </c>
    </row>
    <row r="4">
      <c r="A4" s="6" t="inlineStr">
        <is>
          <t>Discount rate (rNPV / cross-checks)</t>
        </is>
      </c>
    </row>
    <row r="5">
      <c r="A5" s="15" t="inlineStr">
        <is>
          <t>Risk-free rate (RBA 10yr CGS)</t>
        </is>
      </c>
      <c r="C5" s="16" t="n">
        <v>0.04776</v>
      </c>
      <c r="D5" s="15" t="inlineStr">
        <is>
          <t>decimal</t>
        </is>
      </c>
      <c r="E5" s="14" t="inlineStr">
        <is>
          <t>RBA Statistical Table F2 (Capital Market Yields — 10yr CGS)</t>
        </is>
      </c>
      <c r="F5" s="17" t="inlineStr">
        <is>
          <t>17-Jun-2026</t>
        </is>
      </c>
      <c r="G5" s="17" t="inlineStr">
        <is>
          <t>LIVE</t>
        </is>
      </c>
    </row>
    <row r="6">
      <c r="A6" s="15" t="inlineStr">
        <is>
          <t>Development risk premium</t>
        </is>
      </c>
      <c r="C6" s="16" t="n">
        <v>0.14</v>
      </c>
      <c r="D6" s="15" t="inlineStr">
        <is>
          <t>decimal</t>
        </is>
      </c>
      <c r="E6" s="14" t="inlineStr">
        <is>
          <t>Illustrative / Boman claim (see config)</t>
        </is>
      </c>
      <c r="F6" s="17" t="inlineStr">
        <is>
          <t>2026-06-24</t>
        </is>
      </c>
      <c r="G6" s="17" t="inlineStr">
        <is>
          <t>BENCHMARK</t>
        </is>
      </c>
    </row>
    <row r="7">
      <c r="A7" s="3" t="inlineStr">
        <is>
          <t>Base discount rate</t>
        </is>
      </c>
      <c r="C7" s="18">
        <f>'Inputs'!$C$5+'Inputs'!$C$6</f>
        <v/>
      </c>
      <c r="D7" s="15" t="inlineStr">
        <is>
          <t>decimal</t>
        </is>
      </c>
    </row>
    <row r="8">
      <c r="A8" s="6" t="inlineStr">
        <is>
          <t>Fund structure &amp; fees (Boman claim — verify in IM)</t>
        </is>
      </c>
    </row>
    <row r="9">
      <c r="A9" s="15" t="inlineStr">
        <is>
          <t>Committed capital</t>
        </is>
      </c>
      <c r="C9" s="19" t="n">
        <v>25</v>
      </c>
      <c r="D9" s="15" t="inlineStr">
        <is>
          <t>$m</t>
        </is>
      </c>
      <c r="E9" s="14" t="inlineStr">
        <is>
          <t>Illustrative / Boman claim (see config)</t>
        </is>
      </c>
      <c r="F9" s="17" t="inlineStr">
        <is>
          <t>2026-06-24</t>
        </is>
      </c>
      <c r="G9" s="17" t="inlineStr">
        <is>
          <t>BENCHMARK</t>
        </is>
      </c>
    </row>
    <row r="10">
      <c r="A10" s="15" t="inlineStr">
        <is>
          <t>Projects target (delivered &amp; sold)</t>
        </is>
      </c>
      <c r="C10" s="20" t="n">
        <v>35</v>
      </c>
      <c r="D10" s="15" t="inlineStr">
        <is>
          <t>count</t>
        </is>
      </c>
      <c r="E10" s="14" t="inlineStr">
        <is>
          <t>Illustrative / Boman claim (see config)</t>
        </is>
      </c>
      <c r="F10" s="17" t="inlineStr">
        <is>
          <t>2026-06-24</t>
        </is>
      </c>
      <c r="G10" s="17" t="inlineStr">
        <is>
          <t>BENCHMARK</t>
        </is>
      </c>
    </row>
    <row r="11">
      <c r="A11" s="15" t="inlineStr">
        <is>
          <t>Term</t>
        </is>
      </c>
      <c r="C11" s="20" t="n">
        <v>3</v>
      </c>
      <c r="D11" s="15" t="inlineStr">
        <is>
          <t>years</t>
        </is>
      </c>
      <c r="E11" s="14" t="inlineStr">
        <is>
          <t>Illustrative / Boman claim (see config)</t>
        </is>
      </c>
      <c r="F11" s="17" t="inlineStr">
        <is>
          <t>2026-06-24</t>
        </is>
      </c>
      <c r="G11" s="17" t="inlineStr">
        <is>
          <t>BENCHMARK</t>
        </is>
      </c>
    </row>
    <row r="12">
      <c r="A12" s="15" t="inlineStr">
        <is>
          <t>Entry fee (% of committed)</t>
        </is>
      </c>
      <c r="C12" s="16" t="n">
        <v>0.02</v>
      </c>
      <c r="D12" s="15" t="inlineStr">
        <is>
          <t>decimal</t>
        </is>
      </c>
      <c r="E12" s="14" t="inlineStr">
        <is>
          <t>Illustrative / Boman claim (see config)</t>
        </is>
      </c>
      <c r="F12" s="17" t="inlineStr">
        <is>
          <t>2026-06-24</t>
        </is>
      </c>
      <c r="G12" s="17" t="inlineStr">
        <is>
          <t>BENCHMARK</t>
        </is>
      </c>
    </row>
    <row r="13">
      <c r="A13" s="15" t="inlineStr">
        <is>
          <t>Management fee (% p.a.)</t>
        </is>
      </c>
      <c r="C13" s="16" t="n">
        <v>0.02</v>
      </c>
      <c r="D13" s="15" t="inlineStr">
        <is>
          <t>decimal</t>
        </is>
      </c>
      <c r="E13" s="14" t="inlineStr">
        <is>
          <t>Illustrative / Boman claim (see config)</t>
        </is>
      </c>
      <c r="F13" s="17" t="inlineStr">
        <is>
          <t>2026-06-24</t>
        </is>
      </c>
      <c r="G13" s="17" t="inlineStr">
        <is>
          <t>BENCHMARK</t>
        </is>
      </c>
    </row>
    <row r="14">
      <c r="A14" s="15" t="inlineStr">
        <is>
          <t>Carried interest (%)</t>
        </is>
      </c>
      <c r="C14" s="16" t="n">
        <v>0.2</v>
      </c>
      <c r="D14" s="15" t="inlineStr">
        <is>
          <t>decimal</t>
        </is>
      </c>
      <c r="E14" s="14" t="inlineStr">
        <is>
          <t>Illustrative / Boman claim (see config)</t>
        </is>
      </c>
      <c r="F14" s="17" t="inlineStr">
        <is>
          <t>2026-06-24</t>
        </is>
      </c>
      <c r="G14" s="17" t="inlineStr">
        <is>
          <t>BENCHMARK</t>
        </is>
      </c>
    </row>
    <row r="15">
      <c r="A15" s="15" t="inlineStr">
        <is>
          <t>Hurdle / preferred return (%)</t>
        </is>
      </c>
      <c r="C15" s="16" t="n">
        <v>0.08</v>
      </c>
      <c r="D15" s="15" t="inlineStr">
        <is>
          <t>decimal</t>
        </is>
      </c>
      <c r="E15" s="14" t="inlineStr">
        <is>
          <t>Illustrative / Boman claim (see config)</t>
        </is>
      </c>
      <c r="F15" s="17" t="inlineStr">
        <is>
          <t>2026-06-24</t>
        </is>
      </c>
      <c r="G15" s="17" t="inlineStr">
        <is>
          <t>BENCHMARK</t>
        </is>
      </c>
    </row>
    <row r="16">
      <c r="A16" s="6" t="inlineStr">
        <is>
          <t>Development cost &amp; funnel attrition</t>
        </is>
      </c>
    </row>
    <row r="17">
      <c r="A17" s="15" t="inlineStr">
        <is>
          <t>Development cost per project</t>
        </is>
      </c>
      <c r="C17" s="21" t="n">
        <v>0.5</v>
      </c>
      <c r="D17" s="15" t="inlineStr">
        <is>
          <t>$m/project</t>
        </is>
      </c>
      <c r="E17" s="14" t="inlineStr">
        <is>
          <t>Boman deck (claim ~$500k/project) — verify bottom-up: site+EIA+grid+community+overhead</t>
        </is>
      </c>
      <c r="F17" s="17" t="inlineStr">
        <is>
          <t>2026-06-24</t>
        </is>
      </c>
      <c r="G17" s="17" t="inlineStr">
        <is>
          <t>BENCHMARK</t>
        </is>
      </c>
    </row>
    <row r="18">
      <c r="A18" s="15" t="inlineStr">
        <is>
          <t>Abandonment fraction (failed projects)</t>
        </is>
      </c>
      <c r="C18" s="16" t="n">
        <v>0.3</v>
      </c>
      <c r="D18" s="15" t="inlineStr">
        <is>
          <t>decimal</t>
        </is>
      </c>
      <c r="E18" s="14" t="inlineStr">
        <is>
          <t>Illustrative / Boman claim (see config)</t>
        </is>
      </c>
      <c r="F18" s="17" t="inlineStr">
        <is>
          <t>2026-06-24</t>
        </is>
      </c>
      <c r="G18" s="17" t="inlineStr">
        <is>
          <t>BENCHMARK</t>
        </is>
      </c>
    </row>
    <row r="19">
      <c r="A19" s="6" t="inlineStr">
        <is>
          <t>Build cost CONTEXT (buyer-funded — NOT in margin)</t>
        </is>
      </c>
    </row>
    <row r="20">
      <c r="A20" s="15" t="inlineStr">
        <is>
          <t>Built-asset cost (context)</t>
        </is>
      </c>
      <c r="C20" s="22" t="n">
        <v>1.8</v>
      </c>
      <c r="D20" s="15" t="inlineStr">
        <is>
          <t>$m/MW</t>
        </is>
      </c>
      <c r="E20" s="14" t="inlineStr">
        <is>
          <t>CSIRO GenCost-anchored build cost; context only — the buyer (not the fund) funds construction</t>
        </is>
      </c>
      <c r="F20" s="17" t="inlineStr">
        <is>
          <t>2026-06-24</t>
        </is>
      </c>
      <c r="G20" s="17" t="inlineStr">
        <is>
          <t>BENCHMARK</t>
        </is>
      </c>
    </row>
    <row r="21">
      <c r="A21" s="6" t="inlineStr">
        <is>
          <t>Survival gates (independent — public data)</t>
        </is>
      </c>
    </row>
    <row r="22">
      <c r="A22" s="15" t="inlineStr">
        <is>
          <t>Gate 1 — Planning approval</t>
        </is>
      </c>
      <c r="C22" s="16" t="n">
        <v>0.8</v>
      </c>
      <c r="D22" s="15" t="inlineStr">
        <is>
          <t>prob</t>
        </is>
      </c>
      <c r="E22" s="14" t="inlineStr">
        <is>
          <t>NSW Planning Portal — approved vs refused/withdrawn BESS major projects (benchmark)</t>
        </is>
      </c>
      <c r="F22" s="17" t="inlineStr">
        <is>
          <t>2026-06-24</t>
        </is>
      </c>
      <c r="G22" s="17" t="inlineStr">
        <is>
          <t>BENCHMARK</t>
        </is>
      </c>
      <c r="H22" s="23" t="n">
        <v>1.25</v>
      </c>
    </row>
    <row r="23">
      <c r="A23" s="15" t="inlineStr">
        <is>
          <t>Gate 2 — Grid connection</t>
        </is>
      </c>
      <c r="C23" s="16" t="n">
        <v>0.7</v>
      </c>
      <c r="D23" s="15" t="inlineStr">
        <is>
          <t>prob</t>
        </is>
      </c>
      <c r="E23" s="14" t="inlineStr">
        <is>
          <t>AEMO Connections Scorecard / KCI — connection success rate &amp; duration (benchmark)</t>
        </is>
      </c>
      <c r="F23" s="17" t="inlineStr">
        <is>
          <t>2026-06-24</t>
        </is>
      </c>
      <c r="G23" s="17" t="inlineStr">
        <is>
          <t>BENCHMARK</t>
        </is>
      </c>
      <c r="H23" s="23" t="n">
        <v>1.5</v>
      </c>
    </row>
    <row r="24">
      <c r="A24" s="15" t="inlineStr">
        <is>
          <t>Gate 3 — Reach sale</t>
        </is>
      </c>
      <c r="C24" s="16" t="n">
        <v>0.8</v>
      </c>
      <c r="D24" s="15" t="inlineStr">
        <is>
          <t>prob</t>
        </is>
      </c>
      <c r="E24" s="14" t="inlineStr">
        <is>
          <t>AEMO proposed-&gt;committed attrition + active buyer pool (benchmark)</t>
        </is>
      </c>
      <c r="F24" s="17" t="inlineStr">
        <is>
          <t>2026-06-24</t>
        </is>
      </c>
      <c r="G24" s="17" t="inlineStr">
        <is>
          <t>BENCHMARK</t>
        </is>
      </c>
      <c r="H24" s="23" t="n">
        <v>0.5</v>
      </c>
    </row>
    <row r="25">
      <c r="A25" s="6" t="inlineStr">
        <is>
          <t>RTB exit price — $/MW by state (Boman claim — verify)</t>
        </is>
      </c>
    </row>
    <row r="26">
      <c r="A26" s="15" t="inlineStr">
        <is>
          <t>NSW</t>
        </is>
      </c>
      <c r="C26" s="22" t="n">
        <v>0.2</v>
      </c>
      <c r="D26" s="15" t="inlineStr">
        <is>
          <t>$m/MW</t>
        </is>
      </c>
      <c r="E26" s="14" t="inlineStr">
        <is>
          <t>RTB $/MW by state (Boman claim — independent comps needed)</t>
        </is>
      </c>
      <c r="F26" s="17" t="inlineStr">
        <is>
          <t>2026-06-24</t>
        </is>
      </c>
      <c r="G26" s="17" t="inlineStr">
        <is>
          <t>BENCHMARK</t>
        </is>
      </c>
    </row>
    <row r="27">
      <c r="A27" s="15" t="inlineStr">
        <is>
          <t>VIC</t>
        </is>
      </c>
      <c r="C27" s="22" t="n">
        <v>0.18</v>
      </c>
      <c r="D27" s="15" t="inlineStr">
        <is>
          <t>$m/MW</t>
        </is>
      </c>
      <c r="E27" s="14" t="inlineStr">
        <is>
          <t>RTB $/MW by state (Boman claim — independent comps needed)</t>
        </is>
      </c>
      <c r="F27" s="17" t="inlineStr">
        <is>
          <t>2026-06-24</t>
        </is>
      </c>
      <c r="G27" s="17" t="inlineStr">
        <is>
          <t>BENCHMARK</t>
        </is>
      </c>
    </row>
    <row r="28">
      <c r="A28" s="15" t="inlineStr">
        <is>
          <t>SA</t>
        </is>
      </c>
      <c r="C28" s="22" t="n">
        <v>0.12</v>
      </c>
      <c r="D28" s="15" t="inlineStr">
        <is>
          <t>$m/MW</t>
        </is>
      </c>
      <c r="E28" s="14" t="inlineStr">
        <is>
          <t>RTB $/MW by state (Boman claim — independent comps needed)</t>
        </is>
      </c>
      <c r="F28" s="17" t="inlineStr">
        <is>
          <t>2026-06-24</t>
        </is>
      </c>
      <c r="G28" s="17" t="inlineStr">
        <is>
          <t>BENCHMARK</t>
        </is>
      </c>
    </row>
    <row r="29">
      <c r="A29" s="6" t="inlineStr">
        <is>
          <t>VC method</t>
        </is>
      </c>
    </row>
    <row r="30">
      <c r="A30" s="15" t="inlineStr">
        <is>
          <t>VC target return (cross-check)</t>
        </is>
      </c>
      <c r="C30" s="16" t="n">
        <v>0.25</v>
      </c>
      <c r="D30" s="15" t="inlineStr">
        <is>
          <t>decimal</t>
        </is>
      </c>
      <c r="E30" s="14" t="inlineStr">
        <is>
          <t>Illustrative / Boman claim (see config)</t>
        </is>
      </c>
      <c r="F30" s="17" t="inlineStr">
        <is>
          <t>2026-06-24</t>
        </is>
      </c>
      <c r="G30" s="17" t="inlineStr">
        <is>
          <t>BENCHMARK</t>
        </is>
      </c>
    </row>
    <row r="31">
      <c r="A31" s="6" t="inlineStr">
        <is>
          <t>Investor cash-flow profile (period 0..3; each sums to 100%)</t>
        </is>
      </c>
    </row>
    <row r="32">
      <c r="A32" s="15" t="inlineStr">
        <is>
          <t>Capital call profile</t>
        </is>
      </c>
      <c r="C32" s="24" t="n">
        <v>0.5</v>
      </c>
      <c r="D32" s="24" t="n">
        <v>0.5</v>
      </c>
      <c r="E32" s="24" t="n">
        <v>0</v>
      </c>
      <c r="F32" s="24" t="n">
        <v>0</v>
      </c>
    </row>
    <row r="33">
      <c r="A33" s="15" t="inlineStr">
        <is>
          <t>Distribution profile</t>
        </is>
      </c>
      <c r="C33" s="24" t="n">
        <v>0</v>
      </c>
      <c r="D33" s="24" t="n">
        <v>0</v>
      </c>
      <c r="E33" s="24" t="n">
        <v>0.5</v>
      </c>
      <c r="F33" s="24" t="n">
        <v>0.5</v>
      </c>
    </row>
    <row r="34">
      <c r="A34" s="6" t="inlineStr">
        <is>
          <t>Illustrative pipeline (representative ~5 MW distribution projects)</t>
        </is>
      </c>
    </row>
    <row r="35">
      <c r="A35" s="8" t="inlineStr">
        <is>
          <t>Project</t>
        </is>
      </c>
      <c r="B35" s="8" t="inlineStr">
        <is>
          <t>State</t>
        </is>
      </c>
      <c r="C35" s="8" t="inlineStr">
        <is>
          <t>Location</t>
        </is>
      </c>
      <c r="D35" s="8" t="inlineStr">
        <is>
          <t>MW</t>
        </is>
      </c>
      <c r="E35" s="8" t="inlineStr">
        <is>
          <t>Duration (h)</t>
        </is>
      </c>
      <c r="F35" s="8" t="inlineStr">
        <is>
          <t>MWh</t>
        </is>
      </c>
      <c r="G35" s="8" t="inlineStr">
        <is>
          <t>Years to sale</t>
        </is>
      </c>
    </row>
    <row r="36">
      <c r="A36" s="12" t="inlineStr">
        <is>
          <t>Riverina 5MW BESS (illustrative)</t>
        </is>
      </c>
      <c r="B36" s="11" t="inlineStr">
        <is>
          <t>NSW</t>
        </is>
      </c>
      <c r="C36" s="12" t="inlineStr">
        <is>
          <t>Wagga Wagga, NSW</t>
        </is>
      </c>
      <c r="D36" s="20" t="n">
        <v>5</v>
      </c>
      <c r="E36" s="23" t="n">
        <v>2</v>
      </c>
      <c r="F36" s="25">
        <f>D36*E36</f>
        <v/>
      </c>
      <c r="G36" s="23" t="n">
        <v>2.5</v>
      </c>
    </row>
    <row r="37">
      <c r="A37" s="12" t="inlineStr">
        <is>
          <t>Hunter Edge 5MW BESS (illustrative)</t>
        </is>
      </c>
      <c r="B37" s="11" t="inlineStr">
        <is>
          <t>NSW</t>
        </is>
      </c>
      <c r="C37" s="12" t="inlineStr">
        <is>
          <t>Hunter Valley, NSW</t>
        </is>
      </c>
      <c r="D37" s="20" t="n">
        <v>5</v>
      </c>
      <c r="E37" s="23" t="n">
        <v>4</v>
      </c>
      <c r="F37" s="25">
        <f>D37*E37</f>
        <v/>
      </c>
      <c r="G37" s="23" t="n">
        <v>3</v>
      </c>
    </row>
    <row r="38">
      <c r="A38" s="12" t="inlineStr">
        <is>
          <t>Illawarra 5MW BESS (illustrative)</t>
        </is>
      </c>
      <c r="B38" s="11" t="inlineStr">
        <is>
          <t>NSW</t>
        </is>
      </c>
      <c r="C38" s="12" t="inlineStr">
        <is>
          <t>Wollongong, NSW</t>
        </is>
      </c>
      <c r="D38" s="20" t="n">
        <v>5</v>
      </c>
      <c r="E38" s="23" t="n">
        <v>2</v>
      </c>
      <c r="F38" s="25">
        <f>D38*E38</f>
        <v/>
      </c>
      <c r="G38" s="23" t="n">
        <v>2</v>
      </c>
    </row>
    <row r="39">
      <c r="A39" s="12" t="inlineStr">
        <is>
          <t>Latrobe 5MW BESS (illustrative)</t>
        </is>
      </c>
      <c r="B39" s="11" t="inlineStr">
        <is>
          <t>VIC</t>
        </is>
      </c>
      <c r="C39" s="12" t="inlineStr">
        <is>
          <t>Latrobe Valley, VIC</t>
        </is>
      </c>
      <c r="D39" s="20" t="n">
        <v>5</v>
      </c>
      <c r="E39" s="23" t="n">
        <v>2</v>
      </c>
      <c r="F39" s="25">
        <f>D39*E39</f>
        <v/>
      </c>
      <c r="G39" s="23" t="n">
        <v>2.5</v>
      </c>
    </row>
    <row r="40">
      <c r="A40" s="12" t="inlineStr">
        <is>
          <t>Western Plains 5MW BESS (illustrative)</t>
        </is>
      </c>
      <c r="B40" s="11" t="inlineStr">
        <is>
          <t>VIC</t>
        </is>
      </c>
      <c r="C40" s="12" t="inlineStr">
        <is>
          <t>Horsham, VIC</t>
        </is>
      </c>
      <c r="D40" s="20" t="n">
        <v>5</v>
      </c>
      <c r="E40" s="23" t="n">
        <v>2</v>
      </c>
      <c r="F40" s="25">
        <f>D40*E40</f>
        <v/>
      </c>
      <c r="G40" s="23" t="n">
        <v>2</v>
      </c>
    </row>
    <row r="41">
      <c r="A41" s="12" t="inlineStr">
        <is>
          <t>Mid-North 5MW BESS (illustrative)</t>
        </is>
      </c>
      <c r="B41" s="11" t="inlineStr">
        <is>
          <t>SA</t>
        </is>
      </c>
      <c r="C41" s="12" t="inlineStr">
        <is>
          <t>Port Pirie, SA</t>
        </is>
      </c>
      <c r="D41" s="20" t="n">
        <v>5</v>
      </c>
      <c r="E41" s="23" t="n">
        <v>2</v>
      </c>
      <c r="F41" s="25">
        <f>D41*E41</f>
        <v/>
      </c>
      <c r="G41" s="23" t="n">
        <v>2.5</v>
      </c>
    </row>
  </sheetData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F0"/>
    <outlinePr summaryBelow="1" summaryRight="1"/>
    <pageSetUpPr/>
  </sheetPr>
  <dimension ref="A1:J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TIMELINE — built once; every sheet links here</t>
        </is>
      </c>
      <c r="J1" s="2" t="inlineStr">
        <is>
          <t>↩ Contents</t>
        </is>
      </c>
    </row>
    <row r="2">
      <c r="A2" s="15" t="inlineStr">
        <is>
          <t>Base year</t>
        </is>
      </c>
      <c r="B2" s="20" t="n">
        <v>2026</v>
      </c>
    </row>
    <row r="3">
      <c r="A3" s="15" t="inlineStr">
        <is>
          <t>Period number</t>
        </is>
      </c>
      <c r="B3" s="26" t="n">
        <v>0</v>
      </c>
      <c r="C3" s="26" t="n">
        <v>1</v>
      </c>
      <c r="D3" s="26" t="n">
        <v>2</v>
      </c>
      <c r="E3" s="26" t="n">
        <v>3</v>
      </c>
    </row>
    <row r="4">
      <c r="A4" s="15" t="inlineStr">
        <is>
          <t>Year</t>
        </is>
      </c>
      <c r="B4" s="27">
        <f>$B$2+B3</f>
        <v/>
      </c>
      <c r="C4" s="27">
        <f>$B$2+C3</f>
        <v/>
      </c>
      <c r="D4" s="27">
        <f>$B$2+D3</f>
        <v/>
      </c>
      <c r="E4" s="27">
        <f>$B$2+E3</f>
        <v/>
      </c>
    </row>
    <row r="5">
      <c r="A5" s="15" t="inlineStr">
        <is>
          <t>Discount factor @ live discount</t>
        </is>
      </c>
      <c r="B5" s="28">
        <f>IFERROR(1/(1+'Scenarios'!$E$9)^B3,0)</f>
        <v/>
      </c>
      <c r="C5" s="28">
        <f>IFERROR(1/(1+'Scenarios'!$E$9)^C3,0)</f>
        <v/>
      </c>
      <c r="D5" s="28">
        <f>IFERROR(1/(1+'Scenarios'!$E$9)^D3,0)</f>
        <v/>
      </c>
      <c r="E5" s="28">
        <f>IFERROR(1/(1+'Scenarios'!$E$9)^E3,0)</f>
        <v/>
      </c>
    </row>
  </sheetData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SCENARIOS — one switch drives the live case (CHOOSE)</t>
        </is>
      </c>
      <c r="J1" s="2" t="inlineStr">
        <is>
          <t>↩ Contents</t>
        </is>
      </c>
    </row>
    <row r="2">
      <c r="A2" s="3" t="inlineStr">
        <is>
          <t>Scenario switch  (1=Conservative 2=Base 3=Ideal)</t>
        </is>
      </c>
      <c r="B2" s="29" t="n">
        <v>2</v>
      </c>
    </row>
    <row r="3">
      <c r="A3" s="3" t="inlineStr">
        <is>
          <t>Active scenario</t>
        </is>
      </c>
      <c r="B3" s="3">
        <f>CHOOSE('Scenarios'!$B$2,"Conservative","Base","Ideal")</f>
        <v/>
      </c>
    </row>
    <row r="4">
      <c r="A4" s="8" t="inlineStr">
        <is>
          <t>Driver</t>
        </is>
      </c>
      <c r="B4" s="8" t="inlineStr">
        <is>
          <t>Conservative</t>
        </is>
      </c>
      <c r="C4" s="8" t="inlineStr">
        <is>
          <t>Base</t>
        </is>
      </c>
      <c r="D4" s="8" t="inlineStr">
        <is>
          <t>Ideal</t>
        </is>
      </c>
      <c r="E4" s="8" t="inlineStr">
        <is>
          <t>Live (active)</t>
        </is>
      </c>
    </row>
    <row r="5">
      <c r="A5" s="15" t="inlineStr">
        <is>
          <t>Cumulative success rate</t>
        </is>
      </c>
      <c r="B5" s="24" t="n">
        <v>0.4</v>
      </c>
      <c r="C5" s="24" t="n">
        <v>0.65</v>
      </c>
      <c r="D5" s="24" t="n">
        <v>0.8</v>
      </c>
      <c r="E5" s="18">
        <f>CHOOSE('Scenarios'!$B$2,B5,C5,D5)</f>
        <v/>
      </c>
    </row>
    <row r="6">
      <c r="A6" s="15" t="inlineStr">
        <is>
          <t>RTB price multiplier</t>
        </is>
      </c>
      <c r="B6" s="30" t="n">
        <v>0.85</v>
      </c>
      <c r="C6" s="30" t="n">
        <v>1</v>
      </c>
      <c r="D6" s="30" t="n">
        <v>1.15</v>
      </c>
      <c r="E6" s="31">
        <f>CHOOSE('Scenarios'!$B$2,B6,C6,D6)</f>
        <v/>
      </c>
    </row>
    <row r="7">
      <c r="A7" s="15" t="inlineStr">
        <is>
          <t>Dev cost multiplier</t>
        </is>
      </c>
      <c r="B7" s="30" t="n">
        <v>1.05</v>
      </c>
      <c r="C7" s="30" t="n">
        <v>1</v>
      </c>
      <c r="D7" s="30" t="n">
        <v>0.97</v>
      </c>
      <c r="E7" s="31">
        <f>CHOOSE('Scenarios'!$B$2,B7,C7,D7)</f>
        <v/>
      </c>
    </row>
    <row r="8">
      <c r="A8" s="15" t="inlineStr">
        <is>
          <t>Discount rate override (0=use base)</t>
        </is>
      </c>
      <c r="B8" s="24" t="n">
        <v>0.22</v>
      </c>
      <c r="C8" s="24" t="n">
        <v>0</v>
      </c>
      <c r="D8" s="24" t="n">
        <v>0.16</v>
      </c>
      <c r="E8" s="18">
        <f>CHOOSE('Scenarios'!$B$2,B8,C8,D8)</f>
        <v/>
      </c>
    </row>
    <row r="9">
      <c r="A9" s="3" t="inlineStr">
        <is>
          <t>Live discount rate</t>
        </is>
      </c>
      <c r="E9" s="18">
        <f>IF('Scenarios'!$E$8=0,'Inputs'!$C$7,'Scenarios'!$E$8)</f>
        <v/>
      </c>
    </row>
    <row r="11">
      <c r="A11" s="6" t="inlineStr">
        <is>
          <t>First-Chicago weights</t>
        </is>
      </c>
    </row>
    <row r="12">
      <c r="A12" s="8" t="inlineStr"/>
      <c r="B12" s="8" t="inlineStr">
        <is>
          <t>Conservative</t>
        </is>
      </c>
      <c r="C12" s="8" t="inlineStr">
        <is>
          <t>Base</t>
        </is>
      </c>
      <c r="D12" s="8" t="inlineStr">
        <is>
          <t>Ideal</t>
        </is>
      </c>
      <c r="E12" s="8" t="inlineStr">
        <is>
          <t>Sum</t>
        </is>
      </c>
    </row>
    <row r="13">
      <c r="A13" s="15" t="inlineStr">
        <is>
          <t>Weight</t>
        </is>
      </c>
      <c r="B13" s="24" t="n">
        <v>0.3</v>
      </c>
      <c r="C13" s="24" t="n">
        <v>0.5</v>
      </c>
      <c r="D13" s="24" t="n">
        <v>0.2</v>
      </c>
      <c r="E13" s="18">
        <f>SUM(B13:D13)</f>
        <v/>
      </c>
    </row>
    <row r="15">
      <c r="A15" s="14" t="inlineStr">
        <is>
          <t>Success rates mirror Boman's deck (40/65/80%) for comparability. The INDEPENDENT survival curve (~45%) sits below Base (65%) — see Calc_Survival. Scenarios are the analyst's to OWN.</t>
        </is>
      </c>
    </row>
  </sheetData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FFFF"/>
    <outlinePr summaryBelow="1" summaryRight="1"/>
    <pageSetUpPr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</cols>
  <sheetData>
    <row r="1">
      <c r="A1" s="1" t="inlineStr">
        <is>
          <t>CALC — PD-STYLE SURVIVAL CURVE (independent, public data)</t>
        </is>
      </c>
      <c r="J1" s="2" t="inlineStr">
        <is>
          <t>↩ Contents</t>
        </is>
      </c>
    </row>
    <row r="2">
      <c r="A2" s="14" t="inlineStr">
        <is>
          <t>Cumulative P(success) = product of gate probabilities — structurally a multi-period PD / survival curve (the credit-risk bridge). This is the model's INDEPENDENT estimate; the SCENARIOS set the success rate used in valuation.</t>
        </is>
      </c>
    </row>
    <row r="3">
      <c r="A3" s="8" t="inlineStr">
        <is>
          <t>Gate</t>
        </is>
      </c>
      <c r="B3" s="8" t="inlineStr">
        <is>
          <t>Probability</t>
        </is>
      </c>
      <c r="C3" s="8" t="inlineStr">
        <is>
          <t>Cumulative survival</t>
        </is>
      </c>
    </row>
    <row r="4">
      <c r="A4" s="15" t="inlineStr">
        <is>
          <t>Gate 1 — Planning approval</t>
        </is>
      </c>
      <c r="B4" s="32">
        <f>'Inputs'!$C$22</f>
        <v/>
      </c>
      <c r="C4" s="33">
        <f>B4</f>
        <v/>
      </c>
    </row>
    <row r="5">
      <c r="A5" s="15" t="inlineStr">
        <is>
          <t>Gate 2 — Grid connection</t>
        </is>
      </c>
      <c r="B5" s="32">
        <f>'Inputs'!$C$23</f>
        <v/>
      </c>
      <c r="C5" s="33">
        <f>C4*B5</f>
        <v/>
      </c>
    </row>
    <row r="6">
      <c r="A6" s="15" t="inlineStr">
        <is>
          <t>Gate 3 — Reach sale</t>
        </is>
      </c>
      <c r="B6" s="32">
        <f>'Inputs'!$C$24</f>
        <v/>
      </c>
      <c r="C6" s="33">
        <f>C5*B6</f>
        <v/>
      </c>
    </row>
    <row r="7">
      <c r="A7" s="3" t="inlineStr">
        <is>
          <t>Independent cumulative P(success)</t>
        </is>
      </c>
      <c r="C7" s="34">
        <f>C6</f>
        <v/>
      </c>
    </row>
    <row r="9">
      <c r="A9" s="15" t="inlineStr">
        <is>
          <t>Base scenario success (Boman claim)</t>
        </is>
      </c>
      <c r="C9" s="32">
        <f>'Scenarios'!$C$5</f>
        <v/>
      </c>
    </row>
    <row r="10">
      <c r="A10" s="3" t="inlineStr">
        <is>
          <t>Optimism gap (Base − independent)</t>
        </is>
      </c>
      <c r="C10" s="18">
        <f>C9-'Calc_Survival'!$C$7</f>
        <v/>
      </c>
    </row>
    <row r="11">
      <c r="C11" s="35">
        <f>IF(C10&gt;0.05,"FLAG: Base optimistic","ok")</f>
        <v/>
      </c>
    </row>
    <row r="12">
      <c r="A12" s="14" t="inlineStr">
        <is>
          <t>Independent ~45% sits BELOW Boman's Base (65%): treat Base as optimistic; ask for sub-5MW, per-state evidence. The sub-5MW AEMO registration exemption MAY lift small-distribution success above the large-project benchmark — verify.</t>
        </is>
      </c>
    </row>
  </sheetData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FFFF"/>
    <outlinePr summaryBelow="1" summaryRight="1"/>
    <pageSetUpPr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  <col width="7" customWidth="1" min="4" max="4"/>
    <col width="11" customWidth="1" min="5" max="5"/>
    <col width="8" customWidth="1" min="6" max="6"/>
    <col width="11" customWidth="1" min="7" max="7"/>
    <col width="11" customWidth="1" min="8" max="8"/>
    <col width="11" customWidth="1" min="9" max="9"/>
    <col width="8" customWidth="1" min="10" max="10"/>
    <col width="11" customWidth="1" min="11" max="11"/>
    <col width="10" customWidth="1" min="12" max="12"/>
    <col width="11" customWidth="1" min="13" max="13"/>
    <col width="11" customWidth="1" min="14" max="14"/>
  </cols>
  <sheetData>
    <row r="1">
      <c r="A1" s="1" t="inlineStr">
        <is>
          <t>CALC — PER-PROJECT RISK-ADJUSTED NAV (rNPV)</t>
        </is>
      </c>
      <c r="J1" s="2" t="inlineStr">
        <is>
          <t>↩ Contents</t>
        </is>
      </c>
    </row>
    <row r="2">
      <c r="A2" s="14" t="inlineStr">
        <is>
          <t>Per project: RTB sale − DEVELOPMENT cost = margin → × cumulative success → discounted. Cost is DEV ONLY (the fund sells RTB; the buyer funds construction). All figures AUD $m unless stated.</t>
        </is>
      </c>
    </row>
    <row r="3">
      <c r="A3" s="8" t="inlineStr">
        <is>
          <t>Project</t>
        </is>
      </c>
      <c r="B3" s="8" t="inlineStr">
        <is>
          <t>State</t>
        </is>
      </c>
      <c r="C3" s="8" t="inlineStr">
        <is>
          <t>MW</t>
        </is>
      </c>
      <c r="D3" s="8" t="inlineStr">
        <is>
          <t>Years</t>
        </is>
      </c>
      <c r="E3" s="8" t="inlineStr">
        <is>
          <t>RTB $/MW</t>
        </is>
      </c>
      <c r="F3" s="8" t="inlineStr">
        <is>
          <t>Sale mult</t>
        </is>
      </c>
      <c r="G3" s="8" t="inlineStr">
        <is>
          <t>Sale $m</t>
        </is>
      </c>
      <c r="H3" s="8" t="inlineStr">
        <is>
          <t>Dev cost $m</t>
        </is>
      </c>
      <c r="I3" s="8" t="inlineStr">
        <is>
          <t>Margin $m</t>
        </is>
      </c>
      <c r="J3" s="8" t="inlineStr">
        <is>
          <t>Cum P</t>
        </is>
      </c>
      <c r="K3" s="8" t="inlineStr">
        <is>
          <t>Risk-adj $m</t>
        </is>
      </c>
      <c r="L3" s="8" t="inlineStr">
        <is>
          <t>Disc factor</t>
        </is>
      </c>
      <c r="M3" s="8" t="inlineStr">
        <is>
          <t>PV $m</t>
        </is>
      </c>
      <c r="N3" s="8" t="inlineStr">
        <is>
          <t>Sale@1x $m</t>
        </is>
      </c>
    </row>
    <row r="4">
      <c r="A4" s="2">
        <f>'Inputs'!$A$36</f>
        <v/>
      </c>
      <c r="B4" s="36">
        <f>'Inputs'!$B$36</f>
        <v/>
      </c>
      <c r="C4" s="37">
        <f>'Inputs'!$D$36</f>
        <v/>
      </c>
      <c r="D4" s="38">
        <f>'Inputs'!$G$36</f>
        <v/>
      </c>
      <c r="E4" s="39">
        <f>IFERROR(INDEX('Inputs'!$C$26:$C$28,MATCH(B4,'Inputs'!$A$26:$A$28,0)),0)</f>
        <v/>
      </c>
      <c r="F4" s="40">
        <f>'Scenarios'!$E$6</f>
        <v/>
      </c>
      <c r="G4" s="41">
        <f>C4*E4*F4</f>
        <v/>
      </c>
      <c r="H4" s="41">
        <f>'Inputs'!$C$17*'Scenarios'!$E$7</f>
        <v/>
      </c>
      <c r="I4" s="41">
        <f>G4-H4</f>
        <v/>
      </c>
      <c r="J4" s="32">
        <f>'Scenarios'!$E$5</f>
        <v/>
      </c>
      <c r="K4" s="41">
        <f>I4*J4</f>
        <v/>
      </c>
      <c r="L4" s="42">
        <f>IFERROR(1/(1+'Scenarios'!$E$9)^D4,0)</f>
        <v/>
      </c>
      <c r="M4" s="41">
        <f>K4*L4</f>
        <v/>
      </c>
      <c r="N4" s="41">
        <f>C4*E4</f>
        <v/>
      </c>
    </row>
    <row r="5">
      <c r="A5" s="2">
        <f>'Inputs'!$A$37</f>
        <v/>
      </c>
      <c r="B5" s="36">
        <f>'Inputs'!$B$37</f>
        <v/>
      </c>
      <c r="C5" s="37">
        <f>'Inputs'!$D$37</f>
        <v/>
      </c>
      <c r="D5" s="38">
        <f>'Inputs'!$G$37</f>
        <v/>
      </c>
      <c r="E5" s="39">
        <f>IFERROR(INDEX('Inputs'!$C$26:$C$28,MATCH(B5,'Inputs'!$A$26:$A$28,0)),0)</f>
        <v/>
      </c>
      <c r="F5" s="40">
        <f>'Scenarios'!$E$6</f>
        <v/>
      </c>
      <c r="G5" s="41">
        <f>C5*E5*F5</f>
        <v/>
      </c>
      <c r="H5" s="41">
        <f>'Inputs'!$C$17*'Scenarios'!$E$7</f>
        <v/>
      </c>
      <c r="I5" s="41">
        <f>G5-H5</f>
        <v/>
      </c>
      <c r="J5" s="32">
        <f>'Scenarios'!$E$5</f>
        <v/>
      </c>
      <c r="K5" s="41">
        <f>I5*J5</f>
        <v/>
      </c>
      <c r="L5" s="42">
        <f>IFERROR(1/(1+'Scenarios'!$E$9)^D5,0)</f>
        <v/>
      </c>
      <c r="M5" s="41">
        <f>K5*L5</f>
        <v/>
      </c>
      <c r="N5" s="41">
        <f>C5*E5</f>
        <v/>
      </c>
    </row>
    <row r="6">
      <c r="A6" s="2">
        <f>'Inputs'!$A$38</f>
        <v/>
      </c>
      <c r="B6" s="36">
        <f>'Inputs'!$B$38</f>
        <v/>
      </c>
      <c r="C6" s="37">
        <f>'Inputs'!$D$38</f>
        <v/>
      </c>
      <c r="D6" s="38">
        <f>'Inputs'!$G$38</f>
        <v/>
      </c>
      <c r="E6" s="39">
        <f>IFERROR(INDEX('Inputs'!$C$26:$C$28,MATCH(B6,'Inputs'!$A$26:$A$28,0)),0)</f>
        <v/>
      </c>
      <c r="F6" s="40">
        <f>'Scenarios'!$E$6</f>
        <v/>
      </c>
      <c r="G6" s="41">
        <f>C6*E6*F6</f>
        <v/>
      </c>
      <c r="H6" s="41">
        <f>'Inputs'!$C$17*'Scenarios'!$E$7</f>
        <v/>
      </c>
      <c r="I6" s="41">
        <f>G6-H6</f>
        <v/>
      </c>
      <c r="J6" s="32">
        <f>'Scenarios'!$E$5</f>
        <v/>
      </c>
      <c r="K6" s="41">
        <f>I6*J6</f>
        <v/>
      </c>
      <c r="L6" s="42">
        <f>IFERROR(1/(1+'Scenarios'!$E$9)^D6,0)</f>
        <v/>
      </c>
      <c r="M6" s="41">
        <f>K6*L6</f>
        <v/>
      </c>
      <c r="N6" s="41">
        <f>C6*E6</f>
        <v/>
      </c>
    </row>
    <row r="7">
      <c r="A7" s="2">
        <f>'Inputs'!$A$39</f>
        <v/>
      </c>
      <c r="B7" s="36">
        <f>'Inputs'!$B$39</f>
        <v/>
      </c>
      <c r="C7" s="37">
        <f>'Inputs'!$D$39</f>
        <v/>
      </c>
      <c r="D7" s="38">
        <f>'Inputs'!$G$39</f>
        <v/>
      </c>
      <c r="E7" s="39">
        <f>IFERROR(INDEX('Inputs'!$C$26:$C$28,MATCH(B7,'Inputs'!$A$26:$A$28,0)),0)</f>
        <v/>
      </c>
      <c r="F7" s="40">
        <f>'Scenarios'!$E$6</f>
        <v/>
      </c>
      <c r="G7" s="41">
        <f>C7*E7*F7</f>
        <v/>
      </c>
      <c r="H7" s="41">
        <f>'Inputs'!$C$17*'Scenarios'!$E$7</f>
        <v/>
      </c>
      <c r="I7" s="41">
        <f>G7-H7</f>
        <v/>
      </c>
      <c r="J7" s="32">
        <f>'Scenarios'!$E$5</f>
        <v/>
      </c>
      <c r="K7" s="41">
        <f>I7*J7</f>
        <v/>
      </c>
      <c r="L7" s="42">
        <f>IFERROR(1/(1+'Scenarios'!$E$9)^D7,0)</f>
        <v/>
      </c>
      <c r="M7" s="41">
        <f>K7*L7</f>
        <v/>
      </c>
      <c r="N7" s="41">
        <f>C7*E7</f>
        <v/>
      </c>
    </row>
    <row r="8">
      <c r="A8" s="2">
        <f>'Inputs'!$A$40</f>
        <v/>
      </c>
      <c r="B8" s="36">
        <f>'Inputs'!$B$40</f>
        <v/>
      </c>
      <c r="C8" s="37">
        <f>'Inputs'!$D$40</f>
        <v/>
      </c>
      <c r="D8" s="38">
        <f>'Inputs'!$G$40</f>
        <v/>
      </c>
      <c r="E8" s="39">
        <f>IFERROR(INDEX('Inputs'!$C$26:$C$28,MATCH(B8,'Inputs'!$A$26:$A$28,0)),0)</f>
        <v/>
      </c>
      <c r="F8" s="40">
        <f>'Scenarios'!$E$6</f>
        <v/>
      </c>
      <c r="G8" s="41">
        <f>C8*E8*F8</f>
        <v/>
      </c>
      <c r="H8" s="41">
        <f>'Inputs'!$C$17*'Scenarios'!$E$7</f>
        <v/>
      </c>
      <c r="I8" s="41">
        <f>G8-H8</f>
        <v/>
      </c>
      <c r="J8" s="32">
        <f>'Scenarios'!$E$5</f>
        <v/>
      </c>
      <c r="K8" s="41">
        <f>I8*J8</f>
        <v/>
      </c>
      <c r="L8" s="42">
        <f>IFERROR(1/(1+'Scenarios'!$E$9)^D8,0)</f>
        <v/>
      </c>
      <c r="M8" s="41">
        <f>K8*L8</f>
        <v/>
      </c>
      <c r="N8" s="41">
        <f>C8*E8</f>
        <v/>
      </c>
    </row>
    <row r="9">
      <c r="A9" s="2">
        <f>'Inputs'!$A$41</f>
        <v/>
      </c>
      <c r="B9" s="36">
        <f>'Inputs'!$B$41</f>
        <v/>
      </c>
      <c r="C9" s="37">
        <f>'Inputs'!$D$41</f>
        <v/>
      </c>
      <c r="D9" s="38">
        <f>'Inputs'!$G$41</f>
        <v/>
      </c>
      <c r="E9" s="39">
        <f>IFERROR(INDEX('Inputs'!$C$26:$C$28,MATCH(B9,'Inputs'!$A$26:$A$28,0)),0)</f>
        <v/>
      </c>
      <c r="F9" s="40">
        <f>'Scenarios'!$E$6</f>
        <v/>
      </c>
      <c r="G9" s="41">
        <f>C9*E9*F9</f>
        <v/>
      </c>
      <c r="H9" s="41">
        <f>'Inputs'!$C$17*'Scenarios'!$E$7</f>
        <v/>
      </c>
      <c r="I9" s="41">
        <f>G9-H9</f>
        <v/>
      </c>
      <c r="J9" s="32">
        <f>'Scenarios'!$E$5</f>
        <v/>
      </c>
      <c r="K9" s="41">
        <f>I9*J9</f>
        <v/>
      </c>
      <c r="L9" s="42">
        <f>IFERROR(1/(1+'Scenarios'!$E$9)^D9,0)</f>
        <v/>
      </c>
      <c r="M9" s="41">
        <f>K9*L9</f>
        <v/>
      </c>
      <c r="N9" s="41">
        <f>C9*E9</f>
        <v/>
      </c>
    </row>
    <row r="10">
      <c r="A10" s="3" t="inlineStr">
        <is>
          <t>Pipeline total (representative)</t>
        </is>
      </c>
      <c r="C10" s="43">
        <f>SUM(C4:C9)</f>
        <v/>
      </c>
      <c r="G10" s="44">
        <f>SUM(G4:G9)</f>
        <v/>
      </c>
      <c r="H10" s="44">
        <f>SUM(H4:H9)</f>
        <v/>
      </c>
      <c r="M10" s="44">
        <f>SUM(M4:M9)</f>
        <v/>
      </c>
    </row>
    <row r="11">
      <c r="A11" s="3" t="inlineStr">
        <is>
          <t>Blended RTB sale per project (@1x)</t>
        </is>
      </c>
      <c r="M11" s="45">
        <f>AVERAGE('Calc_Project_rNPV'!$N$4:$N$9)</f>
        <v/>
      </c>
    </row>
  </sheetData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FFFF"/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" customWidth="1" min="2" max="2"/>
    <col width="14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CALC — FUND FUNNEL, FEES &amp; INVESTOR RETURN (live scenario)</t>
        </is>
      </c>
      <c r="J1" s="2" t="inlineStr">
        <is>
          <t>↩ Contents</t>
        </is>
      </c>
    </row>
    <row r="2">
      <c r="A2" s="14" t="inlineStr">
        <is>
          <t>The funnel: projects_started = target ÷ success (widens as success falls). Full dev cost on delivered + partial on dropouts. Fees: entry + management + carry over the hurdle. Investor IRR is closed-form over the effective hold (so it reproduces in any Excel). All figures AUD $m.</t>
        </is>
      </c>
    </row>
    <row r="4">
      <c r="A4" s="6" t="inlineStr">
        <is>
          <t>Funnel (live scenario)</t>
        </is>
      </c>
    </row>
    <row r="5">
      <c r="A5" s="15" t="inlineStr">
        <is>
          <t>Live cumulative success</t>
        </is>
      </c>
      <c r="C5" s="32">
        <f>'Scenarios'!$E$5</f>
        <v/>
      </c>
    </row>
    <row r="6">
      <c r="A6" s="15" t="inlineStr">
        <is>
          <t>Projects target (delivered &amp; sold)</t>
        </is>
      </c>
      <c r="C6" s="37">
        <f>'Inputs'!$C$10</f>
        <v/>
      </c>
    </row>
    <row r="7">
      <c r="A7" s="15" t="inlineStr">
        <is>
          <t>Projects started (funnel)</t>
        </is>
      </c>
      <c r="C7" s="46">
        <f>IFERROR(C6/C5,0)</f>
        <v/>
      </c>
    </row>
    <row r="8">
      <c r="A8" s="15" t="inlineStr">
        <is>
          <t>Projects failed (dropouts)</t>
        </is>
      </c>
      <c r="C8" s="46">
        <f>C7-C6</f>
        <v/>
      </c>
    </row>
    <row r="9">
      <c r="A9" s="15" t="inlineStr">
        <is>
          <t>Dev cost per project (live)</t>
        </is>
      </c>
      <c r="C9" s="41">
        <f>'Inputs'!$C$17*'Scenarios'!$E$7</f>
        <v/>
      </c>
    </row>
    <row r="10">
      <c r="A10" s="3" t="inlineStr">
        <is>
          <t>Total development cost</t>
        </is>
      </c>
      <c r="C10" s="47">
        <f>C6*C9+C8*'Inputs'!$C$18*C9</f>
        <v/>
      </c>
    </row>
    <row r="11">
      <c r="A11" s="6" t="inlineStr">
        <is>
          <t>Proceeds &amp; fees</t>
        </is>
      </c>
    </row>
    <row r="12">
      <c r="A12" s="15" t="inlineStr">
        <is>
          <t>Blended RTB sale per project (live)</t>
        </is>
      </c>
      <c r="C12" s="41">
        <f>'Calc_Project_rNPV'!$M$11*'Scenarios'!$E$6</f>
        <v/>
      </c>
    </row>
    <row r="13">
      <c r="A13" s="3" t="inlineStr">
        <is>
          <t>Gross proceeds</t>
        </is>
      </c>
      <c r="C13" s="47">
        <f>C6*C12</f>
        <v/>
      </c>
    </row>
    <row r="14">
      <c r="A14" s="15" t="inlineStr">
        <is>
          <t>Entry fee</t>
        </is>
      </c>
      <c r="C14" s="47">
        <f>'Inputs'!$C$12*'Inputs'!$C$9</f>
        <v/>
      </c>
    </row>
    <row r="15">
      <c r="A15" s="15" t="inlineStr">
        <is>
          <t>Management fee (total)</t>
        </is>
      </c>
      <c r="C15" s="47">
        <f>'Inputs'!$C$13*'Inputs'!$C$9*'Inputs'!$C$11</f>
        <v/>
      </c>
    </row>
    <row r="16">
      <c r="A16" s="3" t="inlineStr">
        <is>
          <t>Invested capital (LP, called)</t>
        </is>
      </c>
      <c r="C16" s="48">
        <f>C10+C14+C15</f>
        <v/>
      </c>
    </row>
    <row r="17">
      <c r="A17" s="6" t="inlineStr">
        <is>
          <t>Carry, distributions &amp; return (live)</t>
        </is>
      </c>
    </row>
    <row r="18">
      <c r="A18" s="15" t="inlineStr">
        <is>
          <t>Profit before carry</t>
        </is>
      </c>
      <c r="C18" s="47">
        <f>C13-C16</f>
        <v/>
      </c>
    </row>
    <row r="19">
      <c r="A19" s="15" t="inlineStr">
        <is>
          <t>Hurdle factor = (1+hurdle)^term − 1</t>
        </is>
      </c>
      <c r="C19" s="33">
        <f>(1+'Inputs'!$C$15)^'Inputs'!$C$11-1</f>
        <v/>
      </c>
    </row>
    <row r="20">
      <c r="A20" s="15" t="inlineStr">
        <is>
          <t>Hurdle amount</t>
        </is>
      </c>
      <c r="C20" s="47">
        <f>C16*C19</f>
        <v/>
      </c>
    </row>
    <row r="21">
      <c r="A21" s="15" t="inlineStr">
        <is>
          <t>Carry to GP</t>
        </is>
      </c>
      <c r="C21" s="47">
        <f>'Inputs'!$C$14*MAX(0,C18-C20)</f>
        <v/>
      </c>
    </row>
    <row r="22">
      <c r="A22" s="3" t="inlineStr">
        <is>
          <t>Distributions to LP</t>
        </is>
      </c>
      <c r="C22" s="47">
        <f>C13-C21</f>
        <v/>
      </c>
    </row>
    <row r="23">
      <c r="A23" s="3" t="inlineStr">
        <is>
          <t>MOIC (net)</t>
        </is>
      </c>
      <c r="C23" s="49">
        <f>IFERROR(C22/C16,0)</f>
        <v/>
      </c>
    </row>
    <row r="24">
      <c r="A24" s="15" t="inlineStr">
        <is>
          <t>Mean distribution period (yrs)</t>
        </is>
      </c>
      <c r="C24" s="46">
        <f>SUMPRODUCT('Timeline'!$B$3:$E$3,'Inputs'!$C$33:$F$33)</f>
        <v/>
      </c>
    </row>
    <row r="25">
      <c r="A25" s="15" t="inlineStr">
        <is>
          <t>Mean capital-call period (yrs)</t>
        </is>
      </c>
      <c r="C25" s="46">
        <f>SUMPRODUCT('Timeline'!$B$3:$E$3,'Inputs'!$C$32:$F$32)</f>
        <v/>
      </c>
    </row>
    <row r="26">
      <c r="A26" s="15" t="inlineStr">
        <is>
          <t>Effective hold (yrs)</t>
        </is>
      </c>
      <c r="C26" s="46">
        <f>C24-C25</f>
        <v/>
      </c>
    </row>
    <row r="27">
      <c r="A27" s="3" t="inlineStr">
        <is>
          <t>Investor IRR (live, closed-form)</t>
        </is>
      </c>
      <c r="C27" s="34">
        <f>IFERROR(C23^(1/C26)-1,0)</f>
        <v/>
      </c>
    </row>
  </sheetData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2D050"/>
    <outlinePr summaryBelow="1" summaryRight="1"/>
    <pageSetUpPr/>
  </sheetPr>
  <dimension ref="A1:J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RETURNS — investor IRR &amp; MOIC by scenario, First-Chicago, valuation range</t>
        </is>
      </c>
      <c r="J1" s="2" t="inlineStr">
        <is>
          <t>↩ Contents</t>
        </is>
      </c>
    </row>
    <row r="2">
      <c r="A2" s="14" t="inlineStr">
        <is>
          <t>Each scenario's funnel is computed independently of the switch. Investor IRR is closed-form over the effective hold. All figures AUD $m unless stated.</t>
        </is>
      </c>
    </row>
    <row r="3">
      <c r="A3" s="6" t="inlineStr">
        <is>
          <t>Investor return by scenario (after fees)</t>
        </is>
      </c>
    </row>
    <row r="4">
      <c r="A4" s="8" t="inlineStr">
        <is>
          <t>Metric</t>
        </is>
      </c>
      <c r="B4" s="8" t="inlineStr">
        <is>
          <t>Conservative</t>
        </is>
      </c>
      <c r="C4" s="8" t="inlineStr">
        <is>
          <t>Base</t>
        </is>
      </c>
      <c r="D4" s="8" t="inlineStr">
        <is>
          <t>Ideal</t>
        </is>
      </c>
    </row>
    <row r="5">
      <c r="A5" s="15" t="inlineStr">
        <is>
          <t>Cumulative success</t>
        </is>
      </c>
      <c r="B5" s="32">
        <f>'Scenarios'!$B$5</f>
        <v/>
      </c>
      <c r="C5" s="32">
        <f>'Scenarios'!$C$5</f>
        <v/>
      </c>
      <c r="D5" s="32">
        <f>'Scenarios'!$D$5</f>
        <v/>
      </c>
    </row>
    <row r="6">
      <c r="A6" s="15" t="inlineStr">
        <is>
          <t>RTB price multiplier</t>
        </is>
      </c>
      <c r="B6" s="40">
        <f>'Scenarios'!$B$6</f>
        <v/>
      </c>
      <c r="C6" s="40">
        <f>'Scenarios'!$C$6</f>
        <v/>
      </c>
      <c r="D6" s="40">
        <f>'Scenarios'!$D$6</f>
        <v/>
      </c>
    </row>
    <row r="7">
      <c r="A7" s="15" t="inlineStr">
        <is>
          <t>Dev cost multiplier</t>
        </is>
      </c>
      <c r="B7" s="40">
        <f>'Scenarios'!$B$7</f>
        <v/>
      </c>
      <c r="C7" s="40">
        <f>'Scenarios'!$C$7</f>
        <v/>
      </c>
      <c r="D7" s="40">
        <f>'Scenarios'!$D$7</f>
        <v/>
      </c>
    </row>
    <row r="8">
      <c r="A8" s="15" t="inlineStr">
        <is>
          <t>Dev cost per project</t>
        </is>
      </c>
      <c r="B8" s="41">
        <f>'Inputs'!$C$17*B7</f>
        <v/>
      </c>
      <c r="C8" s="41">
        <f>'Inputs'!$C$17*C7</f>
        <v/>
      </c>
      <c r="D8" s="41">
        <f>'Inputs'!$C$17*D7</f>
        <v/>
      </c>
    </row>
    <row r="9">
      <c r="A9" s="15" t="inlineStr">
        <is>
          <t>Projects started</t>
        </is>
      </c>
      <c r="B9" s="46">
        <f>IFERROR('Inputs'!$C$10/B5,0)</f>
        <v/>
      </c>
      <c r="C9" s="46">
        <f>IFERROR('Inputs'!$C$10/C5,0)</f>
        <v/>
      </c>
      <c r="D9" s="46">
        <f>IFERROR('Inputs'!$C$10/D5,0)</f>
        <v/>
      </c>
    </row>
    <row r="10">
      <c r="A10" s="15" t="inlineStr">
        <is>
          <t>Projects failed</t>
        </is>
      </c>
      <c r="B10" s="46">
        <f>B9-'Inputs'!$C$10</f>
        <v/>
      </c>
      <c r="C10" s="46">
        <f>C9-'Inputs'!$C$10</f>
        <v/>
      </c>
      <c r="D10" s="46">
        <f>D9-'Inputs'!$C$10</f>
        <v/>
      </c>
    </row>
    <row r="11">
      <c r="A11" s="15" t="inlineStr">
        <is>
          <t>Total dev cost</t>
        </is>
      </c>
      <c r="B11" s="47">
        <f>'Inputs'!$C$10*B8+B10*'Inputs'!$C$18*B8</f>
        <v/>
      </c>
      <c r="C11" s="47">
        <f>'Inputs'!$C$10*C8+C10*'Inputs'!$C$18*C8</f>
        <v/>
      </c>
      <c r="D11" s="47">
        <f>'Inputs'!$C$10*D8+D10*'Inputs'!$C$18*D8</f>
        <v/>
      </c>
    </row>
    <row r="12">
      <c r="A12" s="15" t="inlineStr">
        <is>
          <t>Gross proceeds</t>
        </is>
      </c>
      <c r="B12" s="47">
        <f>'Inputs'!$C$10*'Calc_Project_rNPV'!$M$11*B6</f>
        <v/>
      </c>
      <c r="C12" s="47">
        <f>'Inputs'!$C$10*'Calc_Project_rNPV'!$M$11*C6</f>
        <v/>
      </c>
      <c r="D12" s="47">
        <f>'Inputs'!$C$10*'Calc_Project_rNPV'!$M$11*D6</f>
        <v/>
      </c>
    </row>
    <row r="13">
      <c r="A13" s="15" t="inlineStr">
        <is>
          <t>Invested capital</t>
        </is>
      </c>
      <c r="B13" s="47">
        <f>B11+'Calc_Fund'!$C$15+'Calc_Fund'!$C$14</f>
        <v/>
      </c>
      <c r="C13" s="47">
        <f>C11+'Calc_Fund'!$C$15+'Calc_Fund'!$C$14</f>
        <v/>
      </c>
      <c r="D13" s="47">
        <f>D11+'Calc_Fund'!$C$15+'Calc_Fund'!$C$14</f>
        <v/>
      </c>
    </row>
    <row r="14">
      <c r="A14" s="15" t="inlineStr">
        <is>
          <t>Profit before carry</t>
        </is>
      </c>
      <c r="B14" s="47">
        <f>B12-B13</f>
        <v/>
      </c>
      <c r="C14" s="47">
        <f>C12-C13</f>
        <v/>
      </c>
      <c r="D14" s="47">
        <f>D12-D13</f>
        <v/>
      </c>
    </row>
    <row r="15">
      <c r="A15" s="15" t="inlineStr">
        <is>
          <t>Hurdle amount</t>
        </is>
      </c>
      <c r="B15" s="47">
        <f>B13*'Calc_Fund'!$C$19</f>
        <v/>
      </c>
      <c r="C15" s="47">
        <f>C13*'Calc_Fund'!$C$19</f>
        <v/>
      </c>
      <c r="D15" s="47">
        <f>D13*'Calc_Fund'!$C$19</f>
        <v/>
      </c>
    </row>
    <row r="16">
      <c r="A16" s="15" t="inlineStr">
        <is>
          <t>Carry to GP</t>
        </is>
      </c>
      <c r="B16" s="47">
        <f>'Inputs'!$C$14*MAX(0,B14-B15)</f>
        <v/>
      </c>
      <c r="C16" s="47">
        <f>'Inputs'!$C$14*MAX(0,C14-C15)</f>
        <v/>
      </c>
      <c r="D16" s="47">
        <f>'Inputs'!$C$14*MAX(0,D14-D15)</f>
        <v/>
      </c>
    </row>
    <row r="17">
      <c r="A17" s="15" t="inlineStr">
        <is>
          <t>Distributions to LP</t>
        </is>
      </c>
      <c r="B17" s="47">
        <f>B12-B16</f>
        <v/>
      </c>
      <c r="C17" s="47">
        <f>C12-C16</f>
        <v/>
      </c>
      <c r="D17" s="47">
        <f>D12-D16</f>
        <v/>
      </c>
    </row>
    <row r="18">
      <c r="A18" s="3" t="inlineStr">
        <is>
          <t>MOIC (net)</t>
        </is>
      </c>
      <c r="B18" s="49">
        <f>IFERROR(B17/B13,0)</f>
        <v/>
      </c>
      <c r="C18" s="49">
        <f>IFERROR(C17/C13,0)</f>
        <v/>
      </c>
      <c r="D18" s="49">
        <f>IFERROR(D17/D13,0)</f>
        <v/>
      </c>
    </row>
    <row r="19">
      <c r="A19" s="3" t="inlineStr">
        <is>
          <t>Investor IRR</t>
        </is>
      </c>
      <c r="B19" s="18">
        <f>IFERROR(B18^(1/'Calc_Fund'!$C$26)-1,0)</f>
        <v/>
      </c>
      <c r="C19" s="18">
        <f>IFERROR(C18^(1/'Calc_Fund'!$C$26)-1,0)</f>
        <v/>
      </c>
      <c r="D19" s="18">
        <f>IFERROR(D18^(1/'Calc_Fund'!$C$26)-1,0)</f>
        <v/>
      </c>
    </row>
    <row r="21">
      <c r="A21" s="6" t="inlineStr">
        <is>
          <t>First-Chicago probability-weighted expected return</t>
        </is>
      </c>
    </row>
    <row r="22">
      <c r="A22" s="8" t="inlineStr"/>
      <c r="B22" s="8" t="inlineStr">
        <is>
          <t>Conservative</t>
        </is>
      </c>
      <c r="C22" s="8" t="inlineStr">
        <is>
          <t>Base</t>
        </is>
      </c>
      <c r="D22" s="8" t="inlineStr">
        <is>
          <t>Ideal</t>
        </is>
      </c>
      <c r="E22" s="8" t="inlineStr">
        <is>
          <t>Expected</t>
        </is>
      </c>
    </row>
    <row r="23">
      <c r="A23" s="15" t="inlineStr">
        <is>
          <t>Weight</t>
        </is>
      </c>
      <c r="B23" s="50">
        <f>'Scenarios'!$B$13</f>
        <v/>
      </c>
      <c r="C23" s="50">
        <f>'Scenarios'!$C$13</f>
        <v/>
      </c>
      <c r="D23" s="50">
        <f>'Scenarios'!$D$13</f>
        <v/>
      </c>
    </row>
    <row r="24">
      <c r="A24" s="3" t="inlineStr">
        <is>
          <t>Investor IRR</t>
        </is>
      </c>
      <c r="B24" s="32">
        <f>'Returns'!$B$19</f>
        <v/>
      </c>
      <c r="C24" s="32">
        <f>'Returns'!$C$19</f>
        <v/>
      </c>
      <c r="D24" s="32">
        <f>'Returns'!$D$19</f>
        <v/>
      </c>
      <c r="E24" s="34">
        <f>SUMPRODUCT('Scenarios'!$B$13:$D$13,B24:D24)</f>
        <v/>
      </c>
    </row>
    <row r="25">
      <c r="A25" s="15" t="inlineStr">
        <is>
          <t>MOIC (net)</t>
        </is>
      </c>
      <c r="B25" s="51">
        <f>'Returns'!$B$18</f>
        <v/>
      </c>
      <c r="C25" s="51">
        <f>'Returns'!$C$18</f>
        <v/>
      </c>
      <c r="D25" s="51">
        <f>'Returns'!$D$18</f>
        <v/>
      </c>
      <c r="E25" s="49">
        <f>SUMPRODUCT('Scenarios'!$B$13:$D$13,B25:D25)</f>
        <v/>
      </c>
    </row>
    <row r="27">
      <c r="A27" s="6" t="inlineStr">
        <is>
          <t>Valuation range (per-pipeline asset value — cross-check)</t>
        </is>
      </c>
      <c r="C27" s="10" t="inlineStr">
        <is>
          <t>Representative 6-project pipeline, NOT the whole fund.</t>
        </is>
      </c>
    </row>
    <row r="28">
      <c r="A28" s="15" t="inlineStr">
        <is>
          <t>rNPV pipeline (Base)</t>
        </is>
      </c>
      <c r="C28" s="52">
        <f>'Calc_Project_rNPV'!$M$10</f>
        <v/>
      </c>
    </row>
    <row r="29">
      <c r="A29" s="15" t="inlineStr">
        <is>
          <t>$/MW benchmark (dev value)</t>
        </is>
      </c>
      <c r="C29" s="52">
        <f>'Calc_CrossChecks'!$C$9</f>
        <v/>
      </c>
    </row>
    <row r="30">
      <c r="A30" s="15" t="inlineStr">
        <is>
          <t>VC method (today value)</t>
        </is>
      </c>
      <c r="C30" s="52">
        <f>'Calc_CrossChecks'!$C$18</f>
        <v/>
      </c>
    </row>
    <row r="31">
      <c r="A31" s="3" t="inlineStr">
        <is>
          <t>Low</t>
        </is>
      </c>
      <c r="C31" s="44">
        <f>MIN(C28:C30)</f>
        <v/>
      </c>
    </row>
    <row r="32">
      <c r="A32" s="3" t="inlineStr">
        <is>
          <t>Midpoint</t>
        </is>
      </c>
      <c r="C32" s="45">
        <f>AVERAGE(C28:C30)</f>
        <v/>
      </c>
    </row>
    <row r="33">
      <c r="A33" s="3" t="inlineStr">
        <is>
          <t>High</t>
        </is>
      </c>
      <c r="C33" s="44">
        <f>MAX(C28:C30)</f>
        <v/>
      </c>
    </row>
  </sheetData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FFFF"/>
    <outlinePr summaryBelow="1" summaryRight="1"/>
    <pageSetUpPr/>
  </sheetPr>
  <dimension ref="A1:J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CALC — CROSS-CHECKS: $/MW benchmark, VC method, RTB vs built</t>
        </is>
      </c>
      <c r="J1" s="2" t="inlineStr">
        <is>
          <t>↩ Contents</t>
        </is>
      </c>
    </row>
    <row r="2">
      <c r="A2" s="14" t="inlineStr">
        <is>
          <t>Asset-value cross-checks on the representative pipeline, Base scenario. All figures AUD $m unless stated.</t>
        </is>
      </c>
    </row>
    <row r="3">
      <c r="A3" s="6" t="inlineStr">
        <is>
          <t>$/MW benchmark (Base)</t>
        </is>
      </c>
    </row>
    <row r="4">
      <c r="A4" s="15" t="inlineStr">
        <is>
          <t>Total pipeline MW</t>
        </is>
      </c>
      <c r="C4" s="25">
        <f>SUM('Calc_Project_rNPV'!$C$4:$C$9)</f>
        <v/>
      </c>
    </row>
    <row r="5">
      <c r="A5" s="15" t="inlineStr">
        <is>
          <t>Gross RTB asset value $m</t>
        </is>
      </c>
      <c r="C5" s="47">
        <f>SUMPRODUCT('Calc_Project_rNPV'!$C$4:$C$9,'Calc_Project_rNPV'!$E$4:$E$9)*'Scenarios'!$C$6</f>
        <v/>
      </c>
    </row>
    <row r="6">
      <c r="A6" s="15" t="inlineStr">
        <is>
          <t>Total dev cost $m</t>
        </is>
      </c>
      <c r="C6" s="47">
        <f>'Inputs'!$C$17*'Scenarios'!$C$7*6</f>
        <v/>
      </c>
    </row>
    <row r="7">
      <c r="A7" s="15" t="inlineStr">
        <is>
          <t>Average years to sale</t>
        </is>
      </c>
      <c r="C7" s="46">
        <f>AVERAGE('Calc_Project_rNPV'!$D$4:$D$9)</f>
        <v/>
      </c>
    </row>
    <row r="8">
      <c r="A8" s="15" t="inlineStr">
        <is>
          <t>Cumulative success (Base)</t>
        </is>
      </c>
      <c r="C8" s="32">
        <f>'Scenarios'!$C$5</f>
        <v/>
      </c>
    </row>
    <row r="9">
      <c r="A9" s="15" t="inlineStr">
        <is>
          <t>$/MW implied dev value $m</t>
        </is>
      </c>
      <c r="C9" s="44">
        <f>IFERROR((C5-C6)*C8/(1+'Inputs'!$C$7)^C7,0)</f>
        <v/>
      </c>
    </row>
    <row r="11">
      <c r="A11" s="6" t="inlineStr">
        <is>
          <t>VC method (Base)</t>
        </is>
      </c>
    </row>
    <row r="12">
      <c r="A12" s="15" t="inlineStr">
        <is>
          <t>Total RTB sale value $m</t>
        </is>
      </c>
      <c r="C12" s="47">
        <f>SUMPRODUCT('Calc_Project_rNPV'!$C$4:$C$9,'Calc_Project_rNPV'!$E$4:$E$9)*'Scenarios'!$C$6</f>
        <v/>
      </c>
    </row>
    <row r="13">
      <c r="A13" s="15" t="inlineStr">
        <is>
          <t>Total dev cost $m</t>
        </is>
      </c>
      <c r="C13" s="47">
        <f>C6</f>
        <v/>
      </c>
    </row>
    <row r="14">
      <c r="A14" s="15" t="inlineStr">
        <is>
          <t>Cumulative success (Base)</t>
        </is>
      </c>
      <c r="C14" s="32">
        <f>C8</f>
        <v/>
      </c>
    </row>
    <row r="15">
      <c r="A15" s="15" t="inlineStr">
        <is>
          <t>Exit equity value (expected) $m</t>
        </is>
      </c>
      <c r="C15" s="41">
        <f>C14*(C12-C13)</f>
        <v/>
      </c>
    </row>
    <row r="16">
      <c r="A16" s="15" t="inlineStr">
        <is>
          <t>VC target return</t>
        </is>
      </c>
      <c r="C16" s="32">
        <f>'Inputs'!$C$30</f>
        <v/>
      </c>
    </row>
    <row r="17">
      <c r="A17" s="15" t="inlineStr">
        <is>
          <t>Hold horizon (yrs)</t>
        </is>
      </c>
      <c r="C17" s="37">
        <f>'Inputs'!$C$11</f>
        <v/>
      </c>
    </row>
    <row r="18">
      <c r="A18" s="15" t="inlineStr">
        <is>
          <t>VC today value $m</t>
        </is>
      </c>
      <c r="C18" s="44">
        <f>IFERROR(C15/(1+C16)^C17,0)</f>
        <v/>
      </c>
    </row>
    <row r="20">
      <c r="A20" s="6" t="inlineStr">
        <is>
          <t>RTB as % of built-asset value (sense-check)</t>
        </is>
      </c>
    </row>
    <row r="21">
      <c r="A21" s="8" t="inlineStr">
        <is>
          <t>State</t>
        </is>
      </c>
      <c r="B21" s="8" t="inlineStr">
        <is>
          <t>RTB $/MW</t>
        </is>
      </c>
      <c r="C21" s="8" t="inlineStr">
        <is>
          <t>Built $/MW</t>
        </is>
      </c>
      <c r="D21" s="8" t="inlineStr">
        <is>
          <t>RTB % of built</t>
        </is>
      </c>
    </row>
    <row r="22">
      <c r="A22" s="15" t="inlineStr">
        <is>
          <t>NSW</t>
        </is>
      </c>
      <c r="B22" s="53">
        <f>'Inputs'!$C$26</f>
        <v/>
      </c>
      <c r="C22" s="53">
        <f>'Inputs'!$C$20</f>
        <v/>
      </c>
      <c r="D22" s="33">
        <f>IFERROR(B22/C22,0)</f>
        <v/>
      </c>
    </row>
    <row r="23">
      <c r="A23" s="15" t="inlineStr">
        <is>
          <t>VIC</t>
        </is>
      </c>
      <c r="B23" s="53">
        <f>'Inputs'!$C$27</f>
        <v/>
      </c>
      <c r="C23" s="53">
        <f>'Inputs'!$C$20</f>
        <v/>
      </c>
      <c r="D23" s="33">
        <f>IFERROR(B23/C23,0)</f>
        <v/>
      </c>
    </row>
    <row r="24">
      <c r="A24" s="15" t="inlineStr">
        <is>
          <t>SA</t>
        </is>
      </c>
      <c r="B24" s="53">
        <f>'Inputs'!$C$28</f>
        <v/>
      </c>
      <c r="C24" s="53">
        <f>'Inputs'!$C$20</f>
        <v/>
      </c>
      <c r="D24" s="33">
        <f>IFERROR(B24/C24,0)</f>
        <v/>
      </c>
    </row>
    <row r="25">
      <c r="A25" s="14" t="inlineStr">
        <is>
          <t>Expect ~10–12% — confirms RTB is the early-stage development slice, not the built asset.</t>
        </is>
      </c>
    </row>
  </sheetData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FF00"/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SENSITIVITY — investor MOIC (net): success × RTB price</t>
        </is>
      </c>
      <c r="J1" s="2" t="inlineStr">
        <is>
          <t>↩ Contents</t>
        </is>
      </c>
    </row>
    <row r="2">
      <c r="A2" s="14" t="inlineStr">
        <is>
          <t>Investor MOIC vs cumulative success (down) × RTB price multiplier (across); all else at Base. IRR ≈ MOIC^(1/eff-hold). Live formula grid (recalculates everywhere). All figures AUD $m / x.</t>
        </is>
      </c>
    </row>
    <row r="4">
      <c r="A4" s="15" t="inlineStr">
        <is>
          <t>Carry %</t>
        </is>
      </c>
      <c r="B4" s="32">
        <f>'Inputs'!$C$14</f>
        <v/>
      </c>
    </row>
    <row r="5">
      <c r="A5" s="15" t="inlineStr">
        <is>
          <t>Hurdle factor</t>
        </is>
      </c>
      <c r="B5" s="32">
        <f>'Calc_Fund'!$C$19</f>
        <v/>
      </c>
    </row>
    <row r="6">
      <c r="A6" s="15" t="inlineStr">
        <is>
          <t>Fixed fees (mgmt+entry) $m</t>
        </is>
      </c>
      <c r="B6" s="47">
        <f>'Calc_Fund'!$C$15+'Calc_Fund'!$C$14</f>
        <v/>
      </c>
    </row>
    <row r="8">
      <c r="B8" s="54" t="inlineStr">
        <is>
          <t>Price mult →</t>
        </is>
      </c>
      <c r="C8" s="30" t="n">
        <v>0.7</v>
      </c>
      <c r="D8" s="30" t="n">
        <v>0.85</v>
      </c>
      <c r="E8" s="30" t="n">
        <v>1</v>
      </c>
      <c r="F8" s="30" t="n">
        <v>1.15</v>
      </c>
      <c r="G8" s="30" t="n">
        <v>1.3</v>
      </c>
    </row>
    <row r="9">
      <c r="B9" s="54" t="inlineStr">
        <is>
          <t>Gross $m →</t>
        </is>
      </c>
      <c r="C9" s="55">
        <f>'Inputs'!$C$10*'Calc_Project_rNPV'!$M$11*C8</f>
        <v/>
      </c>
      <c r="D9" s="55">
        <f>'Inputs'!$C$10*'Calc_Project_rNPV'!$M$11*D8</f>
        <v/>
      </c>
      <c r="E9" s="55">
        <f>'Inputs'!$C$10*'Calc_Project_rNPV'!$M$11*E8</f>
        <v/>
      </c>
      <c r="F9" s="55">
        <f>'Inputs'!$C$10*'Calc_Project_rNPV'!$M$11*F8</f>
        <v/>
      </c>
      <c r="G9" s="55">
        <f>'Inputs'!$C$10*'Calc_Project_rNPV'!$M$11*G8</f>
        <v/>
      </c>
    </row>
    <row r="10">
      <c r="B10" s="56" t="inlineStr">
        <is>
          <t>Success ↓</t>
        </is>
      </c>
      <c r="C10" s="56" t="inlineStr">
        <is>
          <t>MOIC</t>
        </is>
      </c>
      <c r="D10" s="56" t="inlineStr">
        <is>
          <t>MOIC</t>
        </is>
      </c>
      <c r="E10" s="56" t="inlineStr">
        <is>
          <t>MOIC</t>
        </is>
      </c>
      <c r="F10" s="56" t="inlineStr">
        <is>
          <t>MOIC</t>
        </is>
      </c>
      <c r="G10" s="56" t="inlineStr">
        <is>
          <t>MOIC</t>
        </is>
      </c>
      <c r="H10" s="8" t="inlineStr">
        <is>
          <t>Started</t>
        </is>
      </c>
      <c r="I10" s="8" t="inlineStr">
        <is>
          <t>Total dev</t>
        </is>
      </c>
      <c r="J10" s="8" t="inlineStr">
        <is>
          <t>Invested</t>
        </is>
      </c>
    </row>
    <row r="11">
      <c r="B11" s="24" t="n">
        <v>0.35</v>
      </c>
      <c r="C11" s="57">
        <f>IFERROR((C$9-'Sensitivity'!$B$4*MAX(0,(C$9-$J11)-$J11*'Sensitivity'!$B$5))/$J11,0)</f>
        <v/>
      </c>
      <c r="D11" s="57">
        <f>IFERROR((D$9-'Sensitivity'!$B$4*MAX(0,(D$9-$J11)-$J11*'Sensitivity'!$B$5))/$J11,0)</f>
        <v/>
      </c>
      <c r="E11" s="57">
        <f>IFERROR((E$9-'Sensitivity'!$B$4*MAX(0,(E$9-$J11)-$J11*'Sensitivity'!$B$5))/$J11,0)</f>
        <v/>
      </c>
      <c r="F11" s="57">
        <f>IFERROR((F$9-'Sensitivity'!$B$4*MAX(0,(F$9-$J11)-$J11*'Sensitivity'!$B$5))/$J11,0)</f>
        <v/>
      </c>
      <c r="G11" s="57">
        <f>IFERROR((G$9-'Sensitivity'!$B$4*MAX(0,(G$9-$J11)-$J11*'Sensitivity'!$B$5))/$J11,0)</f>
        <v/>
      </c>
      <c r="H11" s="46">
        <f>IFERROR('Inputs'!$C$10/$B11,0)</f>
        <v/>
      </c>
      <c r="I11" s="47">
        <f>'Inputs'!$C$10*'Inputs'!$C$17+(H11-'Inputs'!$C$10)*'Inputs'!$C$18*'Inputs'!$C$17</f>
        <v/>
      </c>
      <c r="J11" s="47">
        <f>I11+'Sensitivity'!$B$6</f>
        <v/>
      </c>
    </row>
    <row r="12">
      <c r="B12" s="24" t="n">
        <v>0.45</v>
      </c>
      <c r="C12" s="57">
        <f>IFERROR((C$9-'Sensitivity'!$B$4*MAX(0,(C$9-$J12)-$J12*'Sensitivity'!$B$5))/$J12,0)</f>
        <v/>
      </c>
      <c r="D12" s="57">
        <f>IFERROR((D$9-'Sensitivity'!$B$4*MAX(0,(D$9-$J12)-$J12*'Sensitivity'!$B$5))/$J12,0)</f>
        <v/>
      </c>
      <c r="E12" s="57">
        <f>IFERROR((E$9-'Sensitivity'!$B$4*MAX(0,(E$9-$J12)-$J12*'Sensitivity'!$B$5))/$J12,0)</f>
        <v/>
      </c>
      <c r="F12" s="57">
        <f>IFERROR((F$9-'Sensitivity'!$B$4*MAX(0,(F$9-$J12)-$J12*'Sensitivity'!$B$5))/$J12,0)</f>
        <v/>
      </c>
      <c r="G12" s="57">
        <f>IFERROR((G$9-'Sensitivity'!$B$4*MAX(0,(G$9-$J12)-$J12*'Sensitivity'!$B$5))/$J12,0)</f>
        <v/>
      </c>
      <c r="H12" s="46">
        <f>IFERROR('Inputs'!$C$10/$B12,0)</f>
        <v/>
      </c>
      <c r="I12" s="47">
        <f>'Inputs'!$C$10*'Inputs'!$C$17+(H12-'Inputs'!$C$10)*'Inputs'!$C$18*'Inputs'!$C$17</f>
        <v/>
      </c>
      <c r="J12" s="47">
        <f>I12+'Sensitivity'!$B$6</f>
        <v/>
      </c>
    </row>
    <row r="13">
      <c r="B13" s="24" t="n">
        <v>0.55</v>
      </c>
      <c r="C13" s="57">
        <f>IFERROR((C$9-'Sensitivity'!$B$4*MAX(0,(C$9-$J13)-$J13*'Sensitivity'!$B$5))/$J13,0)</f>
        <v/>
      </c>
      <c r="D13" s="57">
        <f>IFERROR((D$9-'Sensitivity'!$B$4*MAX(0,(D$9-$J13)-$J13*'Sensitivity'!$B$5))/$J13,0)</f>
        <v/>
      </c>
      <c r="E13" s="57">
        <f>IFERROR((E$9-'Sensitivity'!$B$4*MAX(0,(E$9-$J13)-$J13*'Sensitivity'!$B$5))/$J13,0)</f>
        <v/>
      </c>
      <c r="F13" s="57">
        <f>IFERROR((F$9-'Sensitivity'!$B$4*MAX(0,(F$9-$J13)-$J13*'Sensitivity'!$B$5))/$J13,0)</f>
        <v/>
      </c>
      <c r="G13" s="57">
        <f>IFERROR((G$9-'Sensitivity'!$B$4*MAX(0,(G$9-$J13)-$J13*'Sensitivity'!$B$5))/$J13,0)</f>
        <v/>
      </c>
      <c r="H13" s="46">
        <f>IFERROR('Inputs'!$C$10/$B13,0)</f>
        <v/>
      </c>
      <c r="I13" s="47">
        <f>'Inputs'!$C$10*'Inputs'!$C$17+(H13-'Inputs'!$C$10)*'Inputs'!$C$18*'Inputs'!$C$17</f>
        <v/>
      </c>
      <c r="J13" s="47">
        <f>I13+'Sensitivity'!$B$6</f>
        <v/>
      </c>
    </row>
    <row r="14">
      <c r="B14" s="24" t="n">
        <v>0.65</v>
      </c>
      <c r="C14" s="57">
        <f>IFERROR((C$9-'Sensitivity'!$B$4*MAX(0,(C$9-$J14)-$J14*'Sensitivity'!$B$5))/$J14,0)</f>
        <v/>
      </c>
      <c r="D14" s="57">
        <f>IFERROR((D$9-'Sensitivity'!$B$4*MAX(0,(D$9-$J14)-$J14*'Sensitivity'!$B$5))/$J14,0)</f>
        <v/>
      </c>
      <c r="E14" s="57">
        <f>IFERROR((E$9-'Sensitivity'!$B$4*MAX(0,(E$9-$J14)-$J14*'Sensitivity'!$B$5))/$J14,0)</f>
        <v/>
      </c>
      <c r="F14" s="57">
        <f>IFERROR((F$9-'Sensitivity'!$B$4*MAX(0,(F$9-$J14)-$J14*'Sensitivity'!$B$5))/$J14,0)</f>
        <v/>
      </c>
      <c r="G14" s="57">
        <f>IFERROR((G$9-'Sensitivity'!$B$4*MAX(0,(G$9-$J14)-$J14*'Sensitivity'!$B$5))/$J14,0)</f>
        <v/>
      </c>
      <c r="H14" s="46">
        <f>IFERROR('Inputs'!$C$10/$B14,0)</f>
        <v/>
      </c>
      <c r="I14" s="47">
        <f>'Inputs'!$C$10*'Inputs'!$C$17+(H14-'Inputs'!$C$10)*'Inputs'!$C$18*'Inputs'!$C$17</f>
        <v/>
      </c>
      <c r="J14" s="47">
        <f>I14+'Sensitivity'!$B$6</f>
        <v/>
      </c>
    </row>
    <row r="15">
      <c r="B15" s="24" t="n">
        <v>0.8</v>
      </c>
      <c r="C15" s="57">
        <f>IFERROR((C$9-'Sensitivity'!$B$4*MAX(0,(C$9-$J15)-$J15*'Sensitivity'!$B$5))/$J15,0)</f>
        <v/>
      </c>
      <c r="D15" s="57">
        <f>IFERROR((D$9-'Sensitivity'!$B$4*MAX(0,(D$9-$J15)-$J15*'Sensitivity'!$B$5))/$J15,0)</f>
        <v/>
      </c>
      <c r="E15" s="57">
        <f>IFERROR((E$9-'Sensitivity'!$B$4*MAX(0,(E$9-$J15)-$J15*'Sensitivity'!$B$5))/$J15,0)</f>
        <v/>
      </c>
      <c r="F15" s="57">
        <f>IFERROR((F$9-'Sensitivity'!$B$4*MAX(0,(F$9-$J15)-$J15*'Sensitivity'!$B$5))/$J15,0)</f>
        <v/>
      </c>
      <c r="G15" s="57">
        <f>IFERROR((G$9-'Sensitivity'!$B$4*MAX(0,(G$9-$J15)-$J15*'Sensitivity'!$B$5))/$J15,0)</f>
        <v/>
      </c>
      <c r="H15" s="46">
        <f>IFERROR('Inputs'!$C$10/$B15,0)</f>
        <v/>
      </c>
      <c r="I15" s="47">
        <f>'Inputs'!$C$10*'Inputs'!$C$17+(H15-'Inputs'!$C$10)*'Inputs'!$C$18*'Inputs'!$C$17</f>
        <v/>
      </c>
      <c r="J15" s="47">
        <f>I15+'Sensitivity'!$B$6</f>
        <v/>
      </c>
    </row>
  </sheetData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0000"/>
    <outlinePr summaryBelow="1" summaryRight="1"/>
    <pageSetUpPr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38" customWidth="1" min="3" max="3"/>
    <col width="4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CHECKS — integrity framework (master check feeds the Cover)</t>
        </is>
      </c>
      <c r="J1" s="2" t="inlineStr">
        <is>
          <t>↩ Contents</t>
        </is>
      </c>
    </row>
    <row r="3">
      <c r="A3" s="8" t="inlineStr">
        <is>
          <t>Check</t>
        </is>
      </c>
      <c r="B3" s="8" t="inlineStr">
        <is>
          <t>Result</t>
        </is>
      </c>
      <c r="C3" s="8" t="inlineStr">
        <is>
          <t>Note</t>
        </is>
      </c>
    </row>
    <row r="4">
      <c r="A4" s="15" t="inlineStr">
        <is>
          <t>Every gate probability ∈ [0,1]</t>
        </is>
      </c>
      <c r="B4" s="35">
        <f>IF(AND(MIN('Inputs'!$C$22:$C$24)&gt;=0,MAX('Inputs'!$C$22:$C$24)&lt;=1),"OK","ERROR")</f>
        <v/>
      </c>
      <c r="C4" s="10" t="inlineStr">
        <is>
          <t>Gate probs bounded</t>
        </is>
      </c>
    </row>
    <row r="5">
      <c r="A5" s="15" t="inlineStr">
        <is>
          <t>Independent cumulative ≤ each gate</t>
        </is>
      </c>
      <c r="B5" s="35">
        <f>IF('Calc_Survival'!$C$7&lt;=MIN('Calc_Survival'!$B$4:$B$6)+0.000001,"OK","ERROR")</f>
        <v/>
      </c>
      <c r="C5" s="10" t="inlineStr">
        <is>
          <t>Survival monotonic</t>
        </is>
      </c>
    </row>
    <row r="6">
      <c r="A6" s="15" t="inlineStr">
        <is>
          <t>All MW positive</t>
        </is>
      </c>
      <c r="B6" s="35">
        <f>IF(MIN('Inputs'!$D$36:$D$41)&gt;0,"OK","ERROR")</f>
        <v/>
      </c>
      <c r="C6" s="10" t="inlineStr">
        <is>
          <t>Sign check</t>
        </is>
      </c>
    </row>
    <row r="7">
      <c r="A7" s="15" t="inlineStr">
        <is>
          <t>All RTB sale values positive</t>
        </is>
      </c>
      <c r="B7" s="35">
        <f>IF(MIN('Calc_Project_rNPV'!$G$4:$G$9)&gt;0,"OK","ERROR")</f>
        <v/>
      </c>
      <c r="C7" s="10" t="inlineStr">
        <is>
          <t>Sign check</t>
        </is>
      </c>
    </row>
    <row r="8">
      <c r="A8" s="15" t="inlineStr">
        <is>
          <t>Dev cost positive</t>
        </is>
      </c>
      <c r="B8" s="35">
        <f>IF('Inputs'!$C$17&gt;0,"OK","ERROR")</f>
        <v/>
      </c>
      <c r="C8" s="10" t="inlineStr">
        <is>
          <t>Sign check</t>
        </is>
      </c>
    </row>
    <row r="9">
      <c r="A9" s="15" t="inlineStr">
        <is>
          <t>Scenario switch ∈ {1,2,3}</t>
        </is>
      </c>
      <c r="B9" s="35">
        <f>IF(AND('Scenarios'!$B$2&gt;=1,'Scenarios'!$B$2&lt;=3),"OK","ERROR")</f>
        <v/>
      </c>
      <c r="C9" s="10" t="inlineStr">
        <is>
          <t>Switch valid</t>
        </is>
      </c>
    </row>
    <row r="10">
      <c r="A10" s="15" t="inlineStr">
        <is>
          <t>Scenario success monotonic</t>
        </is>
      </c>
      <c r="B10" s="35">
        <f>IF(AND('Scenarios'!$B$5&lt;='Scenarios'!$C$5,'Scenarios'!$C$5&lt;='Scenarios'!$D$5),"OK","ERROR")</f>
        <v/>
      </c>
      <c r="C10" s="10" t="inlineStr">
        <is>
          <t>Cons ≤ Base ≤ Ideal</t>
        </is>
      </c>
    </row>
    <row r="11">
      <c r="A11" s="15" t="inlineStr">
        <is>
          <t>Investor IRR monotonic</t>
        </is>
      </c>
      <c r="B11" s="35">
        <f>IF(AND('Returns'!$B$19&lt;='Returns'!$C$19,'Returns'!$C$19&lt;='Returns'!$D$19),"OK","ERROR")</f>
        <v/>
      </c>
      <c r="C11" s="10" t="inlineStr">
        <is>
          <t>Cons ≤ Base ≤ Ideal</t>
        </is>
      </c>
    </row>
    <row r="12">
      <c r="A12" s="15" t="inlineStr">
        <is>
          <t>Scenario weights sum to 100%</t>
        </is>
      </c>
      <c r="B12" s="35">
        <f>IF(ABS('Scenarios'!$E$13-1)&lt;0.001,"OK","ERROR")</f>
        <v/>
      </c>
      <c r="C12" s="10" t="inlineStr">
        <is>
          <t>First-Chicago weights</t>
        </is>
      </c>
    </row>
    <row r="13">
      <c r="A13" s="15" t="inlineStr">
        <is>
          <t>Capital-call profile sums to 100%</t>
        </is>
      </c>
      <c r="B13" s="35">
        <f>IF(ABS(SUM('Inputs'!$C$32:$F$32)-1)&lt;0.001,"OK","ERROR")</f>
        <v/>
      </c>
      <c r="C13" s="10" t="inlineStr">
        <is>
          <t>Cash-flow profile</t>
        </is>
      </c>
    </row>
    <row r="14">
      <c r="A14" s="15" t="inlineStr">
        <is>
          <t>Distribution profile sums to 100%</t>
        </is>
      </c>
      <c r="B14" s="35">
        <f>IF(ABS(SUM('Inputs'!$C$33:$F$33)-1)&lt;0.001,"OK","ERROR")</f>
        <v/>
      </c>
      <c r="C14" s="10" t="inlineStr">
        <is>
          <t>Cash-flow profile</t>
        </is>
      </c>
    </row>
    <row r="15">
      <c r="A15" s="15" t="inlineStr">
        <is>
          <t>First-Chicago IRR within scenario range</t>
        </is>
      </c>
      <c r="B15" s="35">
        <f>IF(AND(G15&gt;=E15-0.0001,G15&lt;=F15+0.0001),"OK","ERROR")</f>
        <v/>
      </c>
      <c r="C15" s="10" t="inlineStr">
        <is>
          <t>Weighting sanity (helpers E:G)</t>
        </is>
      </c>
      <c r="E15" s="58">
        <f>MIN('Returns'!$B$19:$D$19)</f>
        <v/>
      </c>
      <c r="F15" s="58">
        <f>MAX('Returns'!$B$19:$D$19)</f>
        <v/>
      </c>
      <c r="G15" s="50">
        <f>'Returns'!$E$24</f>
        <v/>
      </c>
    </row>
    <row r="16">
      <c r="A16" s="15" t="inlineStr">
        <is>
          <t>Invested capital positive (all scenarios)</t>
        </is>
      </c>
      <c r="B16" s="35">
        <f>IF(MIN('Returns'!$B$13:$D$13)&gt;0,"OK","ERROR")</f>
        <v/>
      </c>
      <c r="C16" s="10" t="inlineStr">
        <is>
          <t>Sign check</t>
        </is>
      </c>
    </row>
    <row r="17">
      <c r="A17" s="15" t="inlineStr">
        <is>
          <t>No error cells in key outputs</t>
        </is>
      </c>
      <c r="B17" s="35">
        <f>IF(SUM(E17:G17)=0,"OK","ERROR")</f>
        <v/>
      </c>
      <c r="C17" s="10" t="inlineStr">
        <is>
          <t>#REF!/#DIV0! scan</t>
        </is>
      </c>
      <c r="E17" s="35">
        <f>SUMPRODUCT(--ISERROR('Calc_Project_rNPV'!$M$4:$M$10))</f>
        <v/>
      </c>
      <c r="F17" s="35">
        <f>SUMPRODUCT(--ISERROR('Returns'!$B$19:$D$19))</f>
        <v/>
      </c>
      <c r="G17" s="35">
        <f>SUMPRODUCT(--ISERROR('Sensitivity'!$C$11:$G$15))</f>
        <v/>
      </c>
    </row>
    <row r="19">
      <c r="A19" s="3" t="inlineStr">
        <is>
          <t>MASTER CHECK</t>
        </is>
      </c>
      <c r="B19" s="59">
        <f>IF(COUNTIF(B4:B17,"ERROR")=0,"OK","ERROR")</f>
        <v/>
      </c>
    </row>
  </sheetData>
  <conditionalFormatting sqref="B4:B19">
    <cfRule type="cellIs" priority="1" operator="equal" dxfId="0">
      <formula>"OK"</formula>
    </cfRule>
    <cfRule type="cellIs" priority="2" operator="equal" dxfId="1">
      <formula>"ERROR"</formula>
    </cfRule>
  </conditionalFormatting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0B050"/>
    <outlinePr summaryBelow="1" summaryRight="1"/>
    <pageSetUpPr/>
  </sheetPr>
  <dimension ref="A1:J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6" customWidth="1" min="3" max="3"/>
    <col width="32" customWidth="1" min="4" max="4"/>
    <col width="16" customWidth="1" min="5" max="5"/>
  </cols>
  <sheetData>
    <row r="1">
      <c r="A1" s="1" t="inlineStr">
        <is>
          <t>ILLUSTRATIVE DISTRIBUTION-BESS DEVELOP-AND-FLIP FUND — DASHBOARD</t>
        </is>
      </c>
      <c r="J1" s="2" t="inlineStr">
        <is>
          <t>↩ Contents</t>
        </is>
      </c>
    </row>
    <row r="2">
      <c r="A2" s="7" t="inlineStr">
        <is>
          <t>Develop ~5 MW distribution BESS to RTB, sell before construction (NSW/VIC/SA). ILLUSTRATIVE — Boman figures are manager claims to verify. Not investment advice.</t>
        </is>
      </c>
    </row>
    <row r="4">
      <c r="A4" s="3" t="inlineStr">
        <is>
          <t>Active scenario</t>
        </is>
      </c>
      <c r="B4" s="5">
        <f>'Scenarios'!$B$3</f>
        <v/>
      </c>
      <c r="D4" s="3" t="inlineStr">
        <is>
          <t>Master check</t>
        </is>
      </c>
      <c r="E4" s="60">
        <f>'Checks'!$B$19</f>
        <v/>
      </c>
    </row>
    <row r="6">
      <c r="A6" s="6" t="inlineStr">
        <is>
          <t>EXPECTED INVESTOR RETURN (First-Chicago)</t>
        </is>
      </c>
      <c r="D6" s="6" t="inlineStr">
        <is>
          <t>LIVE SCENARIO</t>
        </is>
      </c>
    </row>
    <row r="7">
      <c r="A7" s="3" t="inlineStr">
        <is>
          <t>Expected IRR (after fees)</t>
        </is>
      </c>
      <c r="B7" s="61">
        <f>'Returns'!$E$24</f>
        <v/>
      </c>
      <c r="D7" s="3" t="inlineStr">
        <is>
          <t>Investor IRR (live)</t>
        </is>
      </c>
      <c r="E7" s="61">
        <f>'Calc_Fund'!$C$27</f>
        <v/>
      </c>
    </row>
    <row r="8">
      <c r="A8" s="15" t="inlineStr">
        <is>
          <t>Expected MOIC</t>
        </is>
      </c>
      <c r="B8" s="51">
        <f>'Returns'!$E$25</f>
        <v/>
      </c>
      <c r="D8" s="15" t="inlineStr">
        <is>
          <t>MOIC (live)</t>
        </is>
      </c>
      <c r="E8" s="51">
        <f>'Calc_Fund'!$C$23</f>
        <v/>
      </c>
    </row>
    <row r="10">
      <c r="A10" s="6" t="inlineStr">
        <is>
          <t>INVESTOR IRR BY SCENARIO</t>
        </is>
      </c>
      <c r="D10" s="6" t="inlineStr">
        <is>
          <t>KEY ASSUMPTIONS &amp; FLAG</t>
        </is>
      </c>
    </row>
    <row r="11">
      <c r="A11" s="8" t="inlineStr">
        <is>
          <t>Scenario</t>
        </is>
      </c>
      <c r="B11" s="8" t="inlineStr">
        <is>
          <t>Success</t>
        </is>
      </c>
      <c r="C11" s="8" t="inlineStr">
        <is>
          <t>IRR</t>
        </is>
      </c>
      <c r="D11" s="62" t="inlineStr">
        <is>
          <t>Committed capital $m</t>
        </is>
      </c>
      <c r="E11" s="63">
        <f>'Inputs'!$C$9</f>
        <v/>
      </c>
    </row>
    <row r="12">
      <c r="A12" s="15" t="inlineStr">
        <is>
          <t>Conservative</t>
        </is>
      </c>
      <c r="B12" s="32">
        <f>'Scenarios'!$B$5</f>
        <v/>
      </c>
      <c r="C12" s="32">
        <f>'Returns'!$B$19</f>
        <v/>
      </c>
      <c r="D12" s="57" t="inlineStr">
        <is>
          <t>Projects target</t>
        </is>
      </c>
      <c r="E12" s="37">
        <f>'Inputs'!$C$10</f>
        <v/>
      </c>
    </row>
    <row r="13">
      <c r="A13" s="15" t="inlineStr">
        <is>
          <t>Base</t>
        </is>
      </c>
      <c r="B13" s="32">
        <f>'Scenarios'!$C$5</f>
        <v/>
      </c>
      <c r="C13" s="32">
        <f>'Returns'!$C$19</f>
        <v/>
      </c>
      <c r="D13" s="57" t="inlineStr">
        <is>
          <t>Independent cum P(success)</t>
        </is>
      </c>
      <c r="E13" s="32">
        <f>'Calc_Survival'!$C$7</f>
        <v/>
      </c>
    </row>
    <row r="14">
      <c r="A14" s="15" t="inlineStr">
        <is>
          <t>Ideal</t>
        </is>
      </c>
      <c r="B14" s="32">
        <f>'Scenarios'!$D$5</f>
        <v/>
      </c>
      <c r="C14" s="32">
        <f>'Returns'!$D$19</f>
        <v/>
      </c>
      <c r="D14" s="57" t="inlineStr">
        <is>
          <t>Base scenario success</t>
        </is>
      </c>
      <c r="E14" s="32">
        <f>'Scenarios'!$C$5</f>
        <v/>
      </c>
    </row>
    <row r="15">
      <c r="D15" s="15" t="inlineStr">
        <is>
          <t>Optimism gap (Base − indep.)</t>
        </is>
      </c>
      <c r="E15" s="32">
        <f>'Calc_Survival'!$C$10</f>
        <v/>
      </c>
    </row>
    <row r="17">
      <c r="A17" s="6" t="inlineStr">
        <is>
          <t>Conclusion (illustrative)</t>
        </is>
      </c>
    </row>
    <row r="18">
      <c r="A18" s="14" t="inlineStr">
        <is>
          <t>A real, policy-backed, capital-light niche with a viable RTB exit — but conditional. Merchant risk passes to the buyer; the fund's risk is the survival curve + the RTB price. The independent success (~45%) sits BELOW Boman's Base (65%), and the Conservative case can lose capital. The single biggest risk is EXIT/BUYER risk (non-binding buyers; RTB stage), then development/approval risk. Pursue only on verified buyer depth, RTB comps, and a survivable downside.</t>
        </is>
      </c>
    </row>
    <row r="19"/>
    <row r="20"/>
    <row r="21"/>
    <row r="22"/>
    <row r="23"/>
  </sheetData>
  <mergeCells count="1">
    <mergeCell ref="A18:E23"/>
  </mergeCells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08080"/>
    <outlinePr summaryBelow="1" summaryRight="1"/>
    <pageSetUpPr/>
  </sheetPr>
  <dimension ref="A1:J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50" customWidth="1" min="4" max="4"/>
  </cols>
  <sheetData>
    <row r="1">
      <c r="A1" s="1" t="inlineStr">
        <is>
          <t>Sources &amp; Glossary</t>
        </is>
      </c>
      <c r="J1" s="2" t="inlineStr">
        <is>
          <t>↩ Contents</t>
        </is>
      </c>
    </row>
    <row r="3">
      <c r="A3" s="6" t="inlineStr">
        <is>
          <t>Sources (LIVE = fetched; BENCHMARK = documented public benchmark / Boman claim, verify)</t>
        </is>
      </c>
    </row>
    <row r="4">
      <c r="A4" s="8" t="inlineStr">
        <is>
          <t>Input</t>
        </is>
      </c>
      <c r="B4" s="8" t="inlineStr">
        <is>
          <t>Status</t>
        </is>
      </c>
      <c r="C4" s="8" t="inlineStr">
        <is>
          <t>As at</t>
        </is>
      </c>
      <c r="D4" s="8" t="inlineStr">
        <is>
          <t>Source</t>
        </is>
      </c>
    </row>
    <row r="5">
      <c r="A5" s="15" t="inlineStr">
        <is>
          <t>Risk-free rate (RBA 10yr CGS)</t>
        </is>
      </c>
      <c r="B5" s="9" t="inlineStr">
        <is>
          <t>LIVE</t>
        </is>
      </c>
      <c r="C5" s="9" t="inlineStr">
        <is>
          <t>17-Jun-2026</t>
        </is>
      </c>
      <c r="D5" s="14" t="inlineStr">
        <is>
          <t>RBA Statistical Table F2 (Capital Market Yields — 10yr CGS)</t>
        </is>
      </c>
    </row>
    <row r="6">
      <c r="A6" s="15" t="inlineStr">
        <is>
          <t>Built-cost context (CSIRO GenCost)</t>
        </is>
      </c>
      <c r="B6" s="9" t="inlineStr">
        <is>
          <t>BENCHMARK</t>
        </is>
      </c>
      <c r="C6" s="9" t="inlineStr">
        <is>
          <t>2026-06-24</t>
        </is>
      </c>
      <c r="D6" s="14" t="inlineStr">
        <is>
          <t>CSIRO GenCost-anchored build cost; context only — the buyer (not the fund) funds construction</t>
        </is>
      </c>
    </row>
    <row r="7">
      <c r="A7" s="15" t="inlineStr">
        <is>
          <t>Dev cost per project</t>
        </is>
      </c>
      <c r="B7" s="9" t="inlineStr">
        <is>
          <t>BENCHMARK</t>
        </is>
      </c>
      <c r="C7" s="9" t="inlineStr">
        <is>
          <t>2026-06-24</t>
        </is>
      </c>
      <c r="D7" s="14" t="inlineStr">
        <is>
          <t>Boman deck (claim ~$500k/project) — verify bottom-up: site+EIA+grid+community+overhead</t>
        </is>
      </c>
    </row>
    <row r="8">
      <c r="A8" s="15" t="inlineStr">
        <is>
          <t>Planning approval prob (planning portals)</t>
        </is>
      </c>
      <c r="B8" s="9" t="inlineStr">
        <is>
          <t>BENCHMARK</t>
        </is>
      </c>
      <c r="C8" s="9" t="inlineStr">
        <is>
          <t>2026-06-24</t>
        </is>
      </c>
      <c r="D8" s="14" t="inlineStr">
        <is>
          <t>NSW Planning Portal — approved vs refused/withdrawn BESS major projects (benchmark)</t>
        </is>
      </c>
    </row>
    <row r="9">
      <c r="A9" s="15" t="inlineStr">
        <is>
          <t>Grid connection prob (AEMO)</t>
        </is>
      </c>
      <c r="B9" s="9" t="inlineStr">
        <is>
          <t>BENCHMARK</t>
        </is>
      </c>
      <c r="C9" s="9" t="inlineStr">
        <is>
          <t>2026-06-24</t>
        </is>
      </c>
      <c r="D9" s="14" t="inlineStr">
        <is>
          <t>AEMO Connections Scorecard / KCI — connection success rate &amp; duration (benchmark)</t>
        </is>
      </c>
    </row>
    <row r="10">
      <c r="A10" s="15" t="inlineStr">
        <is>
          <t>Reach-sale prob (buyer pool / AEMO attrition)</t>
        </is>
      </c>
      <c r="B10" s="9" t="inlineStr">
        <is>
          <t>BENCHMARK</t>
        </is>
      </c>
      <c r="C10" s="9" t="inlineStr">
        <is>
          <t>2026-06-24</t>
        </is>
      </c>
      <c r="D10" s="14" t="inlineStr">
        <is>
          <t>AEMO proposed-&gt;committed attrition + active buyer pool (benchmark)</t>
        </is>
      </c>
    </row>
    <row r="11">
      <c r="A11" s="15" t="inlineStr">
        <is>
          <t>RTB $/MW by state (Boman claim)</t>
        </is>
      </c>
      <c r="B11" s="9" t="inlineStr">
        <is>
          <t>BENCHMARK</t>
        </is>
      </c>
      <c r="C11" s="9" t="inlineStr">
        <is>
          <t>2026-06-24</t>
        </is>
      </c>
      <c r="D11" s="14" t="inlineStr">
        <is>
          <t>RTB $/MW by state (Boman claim — independent comps needed)</t>
        </is>
      </c>
    </row>
    <row r="13">
      <c r="A13" s="14" t="inlineStr">
        <is>
          <t>RTB comps: publicly reported deals only; paid DBs (BNEF, Enerdatics, Mergermarket) out of scope. Boman's prices are claims to verify.</t>
        </is>
      </c>
    </row>
    <row r="15">
      <c r="A15" s="6" t="inlineStr">
        <is>
          <t>Glossary</t>
        </is>
      </c>
    </row>
    <row r="16">
      <c r="A16" s="3" t="inlineStr">
        <is>
          <t>RTB</t>
        </is>
      </c>
      <c r="D16" s="14" t="inlineStr">
        <is>
          <t>Ready-to-build / development rights — a shovel-ready project sold before construction.</t>
        </is>
      </c>
    </row>
    <row r="17">
      <c r="A17" s="3" t="inlineStr">
        <is>
          <t>rNPV</t>
        </is>
      </c>
      <c r="D17" s="14" t="inlineStr">
        <is>
          <t>Risk-adjusted NPV — each cash flow × probability of occurring, then discounted.</t>
        </is>
      </c>
    </row>
    <row r="18">
      <c r="A18" s="3" t="inlineStr">
        <is>
          <t>Survival curve / PD</t>
        </is>
      </c>
      <c r="D18" s="14" t="inlineStr">
        <is>
          <t>Cumulative probability a project clears all gates; structurally a multi-period probability-of-default curve.</t>
        </is>
      </c>
    </row>
    <row r="19">
      <c r="A19" s="3" t="inlineStr">
        <is>
          <t>Funnel</t>
        </is>
      </c>
      <c r="D19" s="14" t="inlineStr">
        <is>
          <t>projects_started = target ÷ success; you fund dev cost on every started project (full on delivered, partial on dropouts).</t>
        </is>
      </c>
    </row>
    <row r="20">
      <c r="A20" s="3" t="inlineStr">
        <is>
          <t>Carry / hurdle</t>
        </is>
      </c>
      <c r="D20" s="14" t="inlineStr">
        <is>
          <t>GP carried interest (20%) earned only on profit above the LP preferred return (8%).</t>
        </is>
      </c>
    </row>
    <row r="21">
      <c r="A21" s="3" t="inlineStr">
        <is>
          <t>MOIC / IRR</t>
        </is>
      </c>
      <c r="D21" s="14" t="inlineStr">
        <is>
          <t>Multiple on invested capital; annualised return (closed-form over the effective hold).</t>
        </is>
      </c>
    </row>
    <row r="22">
      <c r="A22" s="3" t="inlineStr">
        <is>
          <t>First Chicago</t>
        </is>
      </c>
      <c r="D22" s="14" t="inlineStr">
        <is>
          <t>Probability-weight the scenario returns into a single expected return.</t>
        </is>
      </c>
    </row>
    <row r="23">
      <c r="A23" s="3" t="inlineStr">
        <is>
          <t>Develop-and-flip</t>
        </is>
      </c>
      <c r="D23" s="14" t="inlineStr">
        <is>
          <t>Develop, de-risk, then sell RTB — the margin is the value uplift; merchant risk passes to the buyer.</t>
        </is>
      </c>
    </row>
  </sheetData>
  <hyperlinks>
    <hyperlink xmlns:r="http://schemas.openxmlformats.org/officeDocument/2006/relationships" ref="J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2026-06-25T02:33:29Z</dcterms:created>
  <dcterms:modified xmlns:dcterms="http://purl.org/dc/terms/" xmlns:xsi="http://www.w3.org/2001/XMLSchema-instance" xsi:type="dcterms:W3CDTF">2026-06-25T02:33:30Z</dcterms:modified>
</cp:coreProperties>
</file>